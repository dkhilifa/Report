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tmicroelectronics.sharepoint.com/teams/EmbSWBenchmark/Shared Documents/Summer Internship Benchmark project/"/>
    </mc:Choice>
  </mc:AlternateContent>
  <xr:revisionPtr revIDLastSave="4250" documentId="8_{29F45461-E0A3-4E19-9A31-BD88FFFBB227}" xr6:coauthVersionLast="47" xr6:coauthVersionMax="47" xr10:uidLastSave="{0B1B109F-FE2A-4C9E-A159-17570DEF6582}"/>
  <bookViews>
    <workbookView xWindow="12300" yWindow="-18120" windowWidth="29040" windowHeight="17520" firstSheet="11" activeTab="16" xr2:uid="{20CC5405-8E22-451B-BFA3-0F0D156B3F97}"/>
  </bookViews>
  <sheets>
    <sheet name="ST vs GD USB Sirine" sheetId="19" r:id="rId1"/>
    <sheet name="Low_footprint_profiles" sheetId="2" r:id="rId2"/>
    <sheet name="Summary" sheetId="12" r:id="rId3"/>
    <sheet name="USBX_ThreadX_Footprint" sheetId="3" r:id="rId4"/>
    <sheet name="Initialization Execution time " sheetId="4" r:id="rId5"/>
    <sheet name="Renesas" sheetId="5" r:id="rId6"/>
    <sheet name="Low_footprint_macro_values" sheetId="6" r:id="rId7"/>
    <sheet name="Nxp vs StM32U5" sheetId="7" r:id="rId8"/>
    <sheet name="ST vs NXP" sheetId="11" r:id="rId9"/>
    <sheet name="ST vs GigaDevice USB Stack" sheetId="13" r:id="rId10"/>
    <sheet name="ST Vs GD32 FreeRTOS Middleware" sheetId="14" r:id="rId11"/>
    <sheet name="ST VsGD32 freeRTOS after update" sheetId="15" r:id="rId12"/>
    <sheet name="st vs gd freertos 11.2.0" sheetId="16" r:id="rId13"/>
    <sheet name="Sheet1" sheetId="18" r:id="rId14"/>
    <sheet name="optimized freertos project st" sheetId="17" r:id="rId15"/>
    <sheet name="TI vs STCube2" sheetId="20" r:id="rId16"/>
    <sheet name="Sheet2" sheetId="21" r:id="rId17"/>
  </sheets>
  <externalReferences>
    <externalReference r:id="rId1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1" l="1"/>
  <c r="G6" i="21"/>
  <c r="G7" i="21"/>
  <c r="G8" i="21"/>
  <c r="G9" i="21"/>
  <c r="G10" i="21"/>
  <c r="G11" i="21"/>
  <c r="G12" i="21"/>
  <c r="G13" i="21"/>
  <c r="G14" i="21"/>
  <c r="G15" i="21"/>
  <c r="G16" i="21"/>
  <c r="G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4" i="21"/>
  <c r="E6" i="21"/>
  <c r="E7" i="21"/>
  <c r="E8" i="21"/>
  <c r="E9" i="21"/>
  <c r="E10" i="21"/>
  <c r="E11" i="21"/>
  <c r="E12" i="21"/>
  <c r="E13" i="21"/>
  <c r="E14" i="21"/>
  <c r="E15" i="21"/>
  <c r="E16" i="21"/>
  <c r="E5" i="21"/>
  <c r="E4" i="21"/>
  <c r="H71" i="20"/>
  <c r="H72" i="20"/>
  <c r="H70" i="20"/>
  <c r="D70" i="20"/>
  <c r="E70" i="20" s="1"/>
  <c r="D71" i="20"/>
  <c r="D72" i="20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49" i="20"/>
  <c r="G49" i="20" s="1"/>
  <c r="F50" i="20"/>
  <c r="G50" i="20" s="1"/>
  <c r="F51" i="20"/>
  <c r="G51" i="20" s="1"/>
  <c r="F52" i="20"/>
  <c r="G52" i="20" s="1"/>
  <c r="F53" i="20"/>
  <c r="G53" i="20" s="1"/>
  <c r="F54" i="20"/>
  <c r="G54" i="20" s="1"/>
  <c r="F55" i="20"/>
  <c r="G55" i="20" s="1"/>
  <c r="F56" i="20"/>
  <c r="G56" i="20" s="1"/>
  <c r="F57" i="20"/>
  <c r="G57" i="20" s="1"/>
  <c r="F58" i="20"/>
  <c r="G58" i="20" s="1"/>
  <c r="F59" i="20"/>
  <c r="G59" i="20" s="1"/>
  <c r="F60" i="20"/>
  <c r="G60" i="20" s="1"/>
  <c r="F61" i="20"/>
  <c r="G61" i="20" s="1"/>
  <c r="F62" i="20"/>
  <c r="G62" i="20" s="1"/>
  <c r="F63" i="20"/>
  <c r="G63" i="20" s="1"/>
  <c r="F64" i="20"/>
  <c r="G64" i="20" s="1"/>
  <c r="F65" i="20"/>
  <c r="G65" i="20" s="1"/>
  <c r="F66" i="20"/>
  <c r="G66" i="20" s="1"/>
  <c r="F19" i="20"/>
  <c r="G19" i="20" s="1"/>
  <c r="F55" i="19"/>
  <c r="F54" i="19"/>
  <c r="F53" i="19"/>
  <c r="F30" i="19"/>
  <c r="H33" i="19"/>
  <c r="H35" i="19"/>
  <c r="G35" i="19"/>
  <c r="F35" i="19"/>
  <c r="F33" i="19"/>
  <c r="G10" i="19"/>
  <c r="F10" i="19"/>
  <c r="F90" i="19"/>
  <c r="F89" i="19"/>
  <c r="F88" i="19"/>
  <c r="F87" i="19"/>
  <c r="F86" i="19"/>
  <c r="F85" i="19"/>
  <c r="F58" i="19"/>
  <c r="F57" i="19"/>
  <c r="F56" i="19"/>
  <c r="F50" i="19"/>
  <c r="F49" i="19"/>
  <c r="F48" i="19"/>
  <c r="F47" i="19"/>
  <c r="F46" i="19"/>
  <c r="F45" i="19"/>
  <c r="F44" i="19"/>
  <c r="F34" i="19"/>
  <c r="H34" i="19" s="1"/>
  <c r="D34" i="19"/>
  <c r="G33" i="19"/>
  <c r="D33" i="19"/>
  <c r="D35" i="19" s="1"/>
  <c r="G31" i="19"/>
  <c r="H31" i="19" s="1"/>
  <c r="F31" i="19"/>
  <c r="D31" i="19"/>
  <c r="D30" i="19"/>
  <c r="G26" i="19"/>
  <c r="G25" i="19"/>
  <c r="G24" i="19"/>
  <c r="N23" i="19"/>
  <c r="G23" i="19"/>
  <c r="N22" i="19"/>
  <c r="G22" i="19"/>
  <c r="N21" i="19"/>
  <c r="G21" i="19"/>
  <c r="N20" i="19"/>
  <c r="G20" i="19"/>
  <c r="N10" i="19"/>
  <c r="D10" i="19"/>
  <c r="Q9" i="19"/>
  <c r="P9" i="19"/>
  <c r="P10" i="19" s="1"/>
  <c r="Q10" i="19" s="1"/>
  <c r="N9" i="19"/>
  <c r="G9" i="19"/>
  <c r="Q8" i="19"/>
  <c r="G8" i="19"/>
  <c r="Q7" i="19"/>
  <c r="G7" i="19"/>
  <c r="F6" i="19"/>
  <c r="G6" i="19" s="1"/>
  <c r="D6" i="19"/>
  <c r="P5" i="19"/>
  <c r="P6" i="19" s="1"/>
  <c r="Q6" i="19" s="1"/>
  <c r="N5" i="19"/>
  <c r="N6" i="19" s="1"/>
  <c r="G5" i="19"/>
  <c r="Q4" i="19"/>
  <c r="G4" i="19"/>
  <c r="Q3" i="19"/>
  <c r="G3" i="19"/>
  <c r="F85" i="13"/>
  <c r="F86" i="13"/>
  <c r="F87" i="13"/>
  <c r="F88" i="13"/>
  <c r="F89" i="13"/>
  <c r="F90" i="13"/>
  <c r="F57" i="13"/>
  <c r="F54" i="13"/>
  <c r="F55" i="13"/>
  <c r="F58" i="13"/>
  <c r="F53" i="13"/>
  <c r="F50" i="13"/>
  <c r="F49" i="13"/>
  <c r="F48" i="13"/>
  <c r="F47" i="13"/>
  <c r="F46" i="13"/>
  <c r="F45" i="13"/>
  <c r="F44" i="13"/>
  <c r="F34" i="13"/>
  <c r="D34" i="13"/>
  <c r="F33" i="13"/>
  <c r="D33" i="13"/>
  <c r="F31" i="13"/>
  <c r="D31" i="13"/>
  <c r="F30" i="13"/>
  <c r="D30" i="13"/>
  <c r="G3" i="13"/>
  <c r="G34" i="17"/>
  <c r="G32" i="17"/>
  <c r="G30" i="17"/>
  <c r="G19" i="17"/>
  <c r="G22" i="17"/>
  <c r="G25" i="17"/>
  <c r="F18" i="17"/>
  <c r="F20" i="17" s="1"/>
  <c r="D18" i="17"/>
  <c r="F14" i="17"/>
  <c r="D14" i="17"/>
  <c r="G13" i="17"/>
  <c r="G12" i="17"/>
  <c r="G11" i="17"/>
  <c r="F10" i="17"/>
  <c r="F24" i="17" s="1"/>
  <c r="D10" i="17"/>
  <c r="D24" i="17" s="1"/>
  <c r="G9" i="17"/>
  <c r="G8" i="17"/>
  <c r="G7" i="17"/>
  <c r="F6" i="17"/>
  <c r="F21" i="17" s="1"/>
  <c r="F23" i="17" s="1"/>
  <c r="D6" i="17"/>
  <c r="D21" i="17" s="1"/>
  <c r="G5" i="17"/>
  <c r="G4" i="17"/>
  <c r="G3" i="17"/>
  <c r="F37" i="16"/>
  <c r="G46" i="16"/>
  <c r="G44" i="16"/>
  <c r="G42" i="16"/>
  <c r="D38" i="16"/>
  <c r="F38" i="16"/>
  <c r="G38" i="16" s="1"/>
  <c r="D37" i="16"/>
  <c r="G36" i="16"/>
  <c r="G35" i="16"/>
  <c r="F34" i="16"/>
  <c r="G34" i="16" s="1"/>
  <c r="D34" i="16"/>
  <c r="G33" i="16"/>
  <c r="F33" i="16"/>
  <c r="D33" i="16"/>
  <c r="G32" i="16"/>
  <c r="G31" i="16"/>
  <c r="F30" i="16"/>
  <c r="G30" i="16" s="1"/>
  <c r="D30" i="16"/>
  <c r="G29" i="16"/>
  <c r="F29" i="16"/>
  <c r="D29" i="16"/>
  <c r="G28" i="16"/>
  <c r="G27" i="16"/>
  <c r="F14" i="16"/>
  <c r="D14" i="16"/>
  <c r="G13" i="16"/>
  <c r="G12" i="16"/>
  <c r="G11" i="16"/>
  <c r="F10" i="16"/>
  <c r="D10" i="16"/>
  <c r="G9" i="16"/>
  <c r="G8" i="16"/>
  <c r="G7" i="16"/>
  <c r="F6" i="16"/>
  <c r="D6" i="16"/>
  <c r="G6" i="16" s="1"/>
  <c r="G5" i="16"/>
  <c r="G4" i="16"/>
  <c r="G3" i="16"/>
  <c r="G31" i="15"/>
  <c r="F37" i="15"/>
  <c r="F38" i="15" s="1"/>
  <c r="D37" i="15"/>
  <c r="F33" i="15"/>
  <c r="D33" i="15"/>
  <c r="F29" i="15"/>
  <c r="D29" i="15"/>
  <c r="D30" i="15" s="1"/>
  <c r="D6" i="15"/>
  <c r="G46" i="15"/>
  <c r="G44" i="15"/>
  <c r="G42" i="15"/>
  <c r="D38" i="15"/>
  <c r="G36" i="15"/>
  <c r="G35" i="15"/>
  <c r="F34" i="15"/>
  <c r="D34" i="15"/>
  <c r="G32" i="15"/>
  <c r="F30" i="15"/>
  <c r="G28" i="15"/>
  <c r="G27" i="15"/>
  <c r="F14" i="15"/>
  <c r="D14" i="15"/>
  <c r="G13" i="15"/>
  <c r="G12" i="15"/>
  <c r="G11" i="15"/>
  <c r="F10" i="15"/>
  <c r="D10" i="15"/>
  <c r="G9" i="15"/>
  <c r="G8" i="15"/>
  <c r="G7" i="15"/>
  <c r="F6" i="15"/>
  <c r="G5" i="15"/>
  <c r="G4" i="15"/>
  <c r="G3" i="15"/>
  <c r="G46" i="14"/>
  <c r="G44" i="14"/>
  <c r="G42" i="14"/>
  <c r="F37" i="14"/>
  <c r="F38" i="14" s="1"/>
  <c r="D37" i="14"/>
  <c r="F33" i="14"/>
  <c r="D33" i="14"/>
  <c r="D34" i="14" s="1"/>
  <c r="F29" i="14"/>
  <c r="G29" i="14" s="1"/>
  <c r="D29" i="14"/>
  <c r="D38" i="14"/>
  <c r="G37" i="14"/>
  <c r="G36" i="14"/>
  <c r="G35" i="14"/>
  <c r="F34" i="14"/>
  <c r="G32" i="14"/>
  <c r="G31" i="14"/>
  <c r="D30" i="14"/>
  <c r="G28" i="14"/>
  <c r="G27" i="14"/>
  <c r="F10" i="14"/>
  <c r="D14" i="14"/>
  <c r="D10" i="14"/>
  <c r="D6" i="14"/>
  <c r="F14" i="14"/>
  <c r="G12" i="14"/>
  <c r="G11" i="14"/>
  <c r="G9" i="14"/>
  <c r="G8" i="14"/>
  <c r="G7" i="14"/>
  <c r="F6" i="14"/>
  <c r="G5" i="14"/>
  <c r="G4" i="14"/>
  <c r="G3" i="14"/>
  <c r="P5" i="13"/>
  <c r="P9" i="13"/>
  <c r="P10" i="13" s="1"/>
  <c r="Q8" i="13"/>
  <c r="Q7" i="13"/>
  <c r="Q4" i="13"/>
  <c r="Q3" i="13"/>
  <c r="N21" i="13"/>
  <c r="N5" i="13" s="1"/>
  <c r="N6" i="13" s="1"/>
  <c r="N20" i="13"/>
  <c r="D10" i="13"/>
  <c r="N23" i="13"/>
  <c r="N9" i="13" s="1"/>
  <c r="N10" i="13" s="1"/>
  <c r="N22" i="13"/>
  <c r="G21" i="13"/>
  <c r="G26" i="13"/>
  <c r="G25" i="13"/>
  <c r="G24" i="13"/>
  <c r="G23" i="13"/>
  <c r="G22" i="13"/>
  <c r="G20" i="13"/>
  <c r="F10" i="13"/>
  <c r="G5" i="13"/>
  <c r="G8" i="13"/>
  <c r="G7" i="13"/>
  <c r="D6" i="13"/>
  <c r="G4" i="13"/>
  <c r="H39" i="7"/>
  <c r="D40" i="7"/>
  <c r="M64" i="12"/>
  <c r="K64" i="12"/>
  <c r="I64" i="12"/>
  <c r="L64" i="12"/>
  <c r="J64" i="12"/>
  <c r="H64" i="12"/>
  <c r="H63" i="12"/>
  <c r="I63" i="12"/>
  <c r="J63" i="12"/>
  <c r="K63" i="12"/>
  <c r="L63" i="12"/>
  <c r="M63" i="12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77" i="5"/>
  <c r="F89" i="5"/>
  <c r="D89" i="5"/>
  <c r="F84" i="5"/>
  <c r="D84" i="5"/>
  <c r="F79" i="5"/>
  <c r="D79" i="5"/>
  <c r="G76" i="5"/>
  <c r="F40" i="7"/>
  <c r="F50" i="12"/>
  <c r="F49" i="12"/>
  <c r="F48" i="12"/>
  <c r="F47" i="12"/>
  <c r="F37" i="12"/>
  <c r="F36" i="12"/>
  <c r="E48" i="12"/>
  <c r="E47" i="12"/>
  <c r="D48" i="12"/>
  <c r="D47" i="12"/>
  <c r="D43" i="12"/>
  <c r="F32" i="12"/>
  <c r="F33" i="12"/>
  <c r="F34" i="12"/>
  <c r="F35" i="12"/>
  <c r="H57" i="12"/>
  <c r="I57" i="12"/>
  <c r="D44" i="12" s="1"/>
  <c r="J57" i="12"/>
  <c r="D45" i="12" s="1"/>
  <c r="F45" i="12" s="1"/>
  <c r="K57" i="12"/>
  <c r="D46" i="12" s="1"/>
  <c r="L57" i="12"/>
  <c r="M57" i="12"/>
  <c r="H62" i="12"/>
  <c r="E43" i="12" s="1"/>
  <c r="I62" i="12"/>
  <c r="E44" i="12" s="1"/>
  <c r="J62" i="12"/>
  <c r="E45" i="12" s="1"/>
  <c r="K62" i="12"/>
  <c r="E46" i="12" s="1"/>
  <c r="L62" i="12"/>
  <c r="M62" i="12"/>
  <c r="F72" i="5"/>
  <c r="E72" i="5"/>
  <c r="C72" i="5"/>
  <c r="F71" i="5"/>
  <c r="E71" i="5"/>
  <c r="C71" i="5"/>
  <c r="F70" i="5"/>
  <c r="E70" i="5"/>
  <c r="C70" i="5"/>
  <c r="G12" i="12"/>
  <c r="G11" i="12"/>
  <c r="G10" i="12"/>
  <c r="G9" i="12"/>
  <c r="G8" i="12"/>
  <c r="G7" i="12"/>
  <c r="G6" i="12"/>
  <c r="G5" i="12"/>
  <c r="G4" i="12"/>
  <c r="V12" i="11"/>
  <c r="D19" i="11" s="1"/>
  <c r="U12" i="11"/>
  <c r="T12" i="11"/>
  <c r="D17" i="11" s="1"/>
  <c r="S12" i="11"/>
  <c r="R12" i="11"/>
  <c r="Q12" i="11"/>
  <c r="D14" i="11" s="1"/>
  <c r="E14" i="11" s="1"/>
  <c r="V7" i="11"/>
  <c r="U7" i="11"/>
  <c r="T7" i="11"/>
  <c r="C17" i="11" s="1"/>
  <c r="S7" i="11"/>
  <c r="R7" i="11"/>
  <c r="C15" i="11" s="1"/>
  <c r="E15" i="11" s="1"/>
  <c r="Q7" i="11"/>
  <c r="C19" i="11"/>
  <c r="D18" i="11"/>
  <c r="C18" i="11"/>
  <c r="E18" i="11" s="1"/>
  <c r="D16" i="11"/>
  <c r="C16" i="11"/>
  <c r="E16" i="11" s="1"/>
  <c r="D15" i="11"/>
  <c r="C14" i="11"/>
  <c r="E8" i="11"/>
  <c r="E7" i="11"/>
  <c r="E6" i="11"/>
  <c r="E5" i="11"/>
  <c r="E9" i="11" s="1"/>
  <c r="E4" i="11"/>
  <c r="E10" i="11" s="1"/>
  <c r="E3" i="11"/>
  <c r="F32" i="19" l="1"/>
  <c r="G30" i="19"/>
  <c r="H30" i="19" s="1"/>
  <c r="G34" i="19"/>
  <c r="Q5" i="19"/>
  <c r="D32" i="19"/>
  <c r="F56" i="13"/>
  <c r="F35" i="13"/>
  <c r="D32" i="13"/>
  <c r="G31" i="13"/>
  <c r="H31" i="13" s="1"/>
  <c r="D35" i="13"/>
  <c r="H34" i="13"/>
  <c r="G30" i="13"/>
  <c r="H30" i="13" s="1"/>
  <c r="H33" i="13"/>
  <c r="F32" i="13"/>
  <c r="G32" i="13" s="1"/>
  <c r="H32" i="13" s="1"/>
  <c r="G34" i="13"/>
  <c r="G33" i="13"/>
  <c r="G18" i="17"/>
  <c r="F26" i="17"/>
  <c r="G24" i="17"/>
  <c r="G21" i="17"/>
  <c r="D26" i="17"/>
  <c r="D23" i="17"/>
  <c r="G23" i="17" s="1"/>
  <c r="D20" i="17"/>
  <c r="G20" i="17" s="1"/>
  <c r="G14" i="17"/>
  <c r="G10" i="17"/>
  <c r="G6" i="17"/>
  <c r="G14" i="16"/>
  <c r="G10" i="16"/>
  <c r="G37" i="16"/>
  <c r="G37" i="15"/>
  <c r="G14" i="15"/>
  <c r="G10" i="15"/>
  <c r="G6" i="15"/>
  <c r="G30" i="15"/>
  <c r="G38" i="15"/>
  <c r="G34" i="15"/>
  <c r="G29" i="15"/>
  <c r="G33" i="15"/>
  <c r="Q5" i="13"/>
  <c r="G38" i="14"/>
  <c r="G34" i="14"/>
  <c r="G33" i="14"/>
  <c r="F30" i="14"/>
  <c r="G30" i="14" s="1"/>
  <c r="G10" i="14"/>
  <c r="G14" i="14"/>
  <c r="G6" i="14"/>
  <c r="G13" i="14"/>
  <c r="P6" i="13"/>
  <c r="Q6" i="13" s="1"/>
  <c r="Q10" i="13"/>
  <c r="Q9" i="13"/>
  <c r="G9" i="13"/>
  <c r="G10" i="13"/>
  <c r="F6" i="13"/>
  <c r="G6" i="13" s="1"/>
  <c r="G70" i="5"/>
  <c r="H70" i="5" s="1"/>
  <c r="F38" i="12"/>
  <c r="F44" i="12"/>
  <c r="F43" i="12"/>
  <c r="F39" i="12"/>
  <c r="F46" i="12"/>
  <c r="G72" i="5"/>
  <c r="H72" i="5" s="1"/>
  <c r="G71" i="5"/>
  <c r="H71" i="5" s="1"/>
  <c r="E17" i="11"/>
  <c r="E19" i="11"/>
  <c r="E20" i="11"/>
  <c r="E21" i="11"/>
  <c r="G32" i="19" l="1"/>
  <c r="H32" i="19" s="1"/>
  <c r="H35" i="13"/>
  <c r="G35" i="13"/>
  <c r="G26" i="17"/>
  <c r="F62" i="7"/>
  <c r="F61" i="7"/>
  <c r="F59" i="7"/>
  <c r="F58" i="7"/>
  <c r="F57" i="7"/>
  <c r="F55" i="7"/>
  <c r="F54" i="7"/>
  <c r="F15" i="7" s="1"/>
  <c r="F53" i="7"/>
  <c r="D63" i="7"/>
  <c r="D62" i="7"/>
  <c r="D61" i="7"/>
  <c r="D55" i="7"/>
  <c r="D54" i="7"/>
  <c r="F32" i="7"/>
  <c r="F10" i="7"/>
  <c r="D32" i="7"/>
  <c r="D33" i="7" s="1"/>
  <c r="D59" i="7"/>
  <c r="D58" i="7"/>
  <c r="D57" i="7"/>
  <c r="D53" i="7"/>
  <c r="D7" i="7"/>
  <c r="D108" i="7" s="1"/>
  <c r="D10" i="7"/>
  <c r="D110" i="7" s="1"/>
  <c r="D36" i="7"/>
  <c r="H36" i="7" s="1"/>
  <c r="D29" i="5"/>
  <c r="G28" i="5"/>
  <c r="G26" i="5"/>
  <c r="C64" i="5"/>
  <c r="C63" i="5"/>
  <c r="C62" i="5"/>
  <c r="D123" i="7"/>
  <c r="D107" i="7"/>
  <c r="D106" i="7"/>
  <c r="D109" i="7"/>
  <c r="D41" i="7"/>
  <c r="F36" i="7"/>
  <c r="F19" i="7"/>
  <c r="D19" i="7"/>
  <c r="D122" i="7" s="1"/>
  <c r="F7" i="7"/>
  <c r="H7" i="7"/>
  <c r="G24" i="5"/>
  <c r="G22" i="5"/>
  <c r="D25" i="5"/>
  <c r="L33" i="7"/>
  <c r="K33" i="7"/>
  <c r="L32" i="7"/>
  <c r="K32" i="7"/>
  <c r="L31" i="7"/>
  <c r="K31" i="7"/>
  <c r="F9" i="7"/>
  <c r="D9" i="7"/>
  <c r="F6" i="7"/>
  <c r="D6" i="7"/>
  <c r="F3" i="7"/>
  <c r="D3" i="7"/>
  <c r="F4" i="7"/>
  <c r="D4" i="7"/>
  <c r="F21" i="7"/>
  <c r="G58" i="7"/>
  <c r="F16" i="7"/>
  <c r="D121" i="7" s="1"/>
  <c r="D16" i="7"/>
  <c r="D120" i="7" s="1"/>
  <c r="G54" i="7"/>
  <c r="H54" i="7" s="1"/>
  <c r="F70" i="7"/>
  <c r="C70" i="7"/>
  <c r="G70" i="7" s="1"/>
  <c r="H70" i="7" s="1"/>
  <c r="G69" i="7"/>
  <c r="H69" i="7" s="1"/>
  <c r="F69" i="7"/>
  <c r="D69" i="7"/>
  <c r="G68" i="7"/>
  <c r="H68" i="7" s="1"/>
  <c r="F68" i="7"/>
  <c r="D68" i="7"/>
  <c r="G39" i="7"/>
  <c r="H38" i="7"/>
  <c r="G38" i="7"/>
  <c r="F37" i="7"/>
  <c r="H35" i="7"/>
  <c r="G35" i="7"/>
  <c r="H34" i="7"/>
  <c r="G34" i="7"/>
  <c r="F33" i="7"/>
  <c r="G31" i="7"/>
  <c r="H31" i="7" s="1"/>
  <c r="G30" i="7"/>
  <c r="H30" i="7" s="1"/>
  <c r="F63" i="5"/>
  <c r="F64" i="5"/>
  <c r="F62" i="5"/>
  <c r="E63" i="5"/>
  <c r="G63" i="5" s="1"/>
  <c r="H63" i="5" s="1"/>
  <c r="E64" i="5"/>
  <c r="G64" i="5" s="1"/>
  <c r="H64" i="5" s="1"/>
  <c r="E62" i="5"/>
  <c r="C55" i="5"/>
  <c r="D55" i="5" s="1"/>
  <c r="D54" i="5"/>
  <c r="D53" i="5"/>
  <c r="D52" i="5"/>
  <c r="D51" i="5"/>
  <c r="D50" i="5"/>
  <c r="D49" i="5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F54" i="5"/>
  <c r="F53" i="5"/>
  <c r="F52" i="5"/>
  <c r="F51" i="5"/>
  <c r="F50" i="5"/>
  <c r="F49" i="5"/>
  <c r="E55" i="5"/>
  <c r="F55" i="5" s="1"/>
  <c r="G43" i="5"/>
  <c r="H43" i="5" s="1"/>
  <c r="G44" i="5"/>
  <c r="H44" i="5" s="1"/>
  <c r="G45" i="5"/>
  <c r="H45" i="5" s="1"/>
  <c r="G46" i="5"/>
  <c r="H46" i="5" s="1"/>
  <c r="G47" i="5"/>
  <c r="H47" i="5" s="1"/>
  <c r="G42" i="5"/>
  <c r="H42" i="5" s="1"/>
  <c r="F43" i="5"/>
  <c r="F44" i="5"/>
  <c r="F45" i="5"/>
  <c r="F46" i="5"/>
  <c r="F47" i="5"/>
  <c r="F42" i="5"/>
  <c r="C48" i="5"/>
  <c r="D48" i="5" s="1"/>
  <c r="E48" i="5"/>
  <c r="F48" i="5" s="1"/>
  <c r="D43" i="5"/>
  <c r="D44" i="5"/>
  <c r="D45" i="5"/>
  <c r="D46" i="5"/>
  <c r="D47" i="5"/>
  <c r="D42" i="5"/>
  <c r="E41" i="5"/>
  <c r="F41" i="5" s="1"/>
  <c r="C41" i="5"/>
  <c r="D41" i="5" s="1"/>
  <c r="G4" i="5"/>
  <c r="G5" i="5"/>
  <c r="G7" i="5"/>
  <c r="G8" i="5"/>
  <c r="G9" i="5"/>
  <c r="G11" i="5"/>
  <c r="G12" i="5"/>
  <c r="G13" i="5"/>
  <c r="G19" i="5"/>
  <c r="G20" i="5"/>
  <c r="G23" i="5"/>
  <c r="G27" i="5"/>
  <c r="F14" i="5"/>
  <c r="D14" i="5"/>
  <c r="F10" i="5"/>
  <c r="D10" i="5"/>
  <c r="F6" i="5"/>
  <c r="D6" i="5"/>
  <c r="F29" i="5"/>
  <c r="F25" i="5"/>
  <c r="F21" i="5"/>
  <c r="D21" i="5"/>
  <c r="G18" i="5"/>
  <c r="G40" i="5"/>
  <c r="H40" i="5" s="1"/>
  <c r="F40" i="5"/>
  <c r="D40" i="5"/>
  <c r="G39" i="5"/>
  <c r="H39" i="5" s="1"/>
  <c r="F39" i="5"/>
  <c r="D39" i="5"/>
  <c r="G38" i="5"/>
  <c r="H38" i="5" s="1"/>
  <c r="F38" i="5"/>
  <c r="D38" i="5"/>
  <c r="G37" i="5"/>
  <c r="H37" i="5" s="1"/>
  <c r="F37" i="5"/>
  <c r="D37" i="5"/>
  <c r="G36" i="5"/>
  <c r="H36" i="5" s="1"/>
  <c r="F36" i="5"/>
  <c r="D36" i="5"/>
  <c r="G35" i="5"/>
  <c r="F35" i="5"/>
  <c r="D35" i="5"/>
  <c r="G3" i="5"/>
  <c r="G50" i="3"/>
  <c r="G49" i="3"/>
  <c r="G48" i="3"/>
  <c r="G47" i="3"/>
  <c r="G46" i="3"/>
  <c r="G45" i="3"/>
  <c r="G44" i="3"/>
  <c r="G43" i="3"/>
  <c r="G42" i="3"/>
  <c r="J36" i="3"/>
  <c r="J31" i="3"/>
  <c r="J32" i="3"/>
  <c r="J33" i="3"/>
  <c r="J34" i="3"/>
  <c r="J35" i="3"/>
  <c r="J30" i="3"/>
  <c r="I31" i="3"/>
  <c r="I32" i="3"/>
  <c r="I33" i="3"/>
  <c r="I34" i="3"/>
  <c r="I35" i="3"/>
  <c r="I30" i="3"/>
  <c r="I36" i="3"/>
  <c r="H36" i="3"/>
  <c r="H31" i="3"/>
  <c r="H32" i="3"/>
  <c r="H33" i="3"/>
  <c r="H34" i="3"/>
  <c r="H35" i="3"/>
  <c r="H30" i="3"/>
  <c r="F36" i="3"/>
  <c r="G36" i="3" s="1"/>
  <c r="G35" i="3"/>
  <c r="G34" i="3"/>
  <c r="G33" i="3"/>
  <c r="G32" i="3"/>
  <c r="G31" i="3"/>
  <c r="G30" i="3"/>
  <c r="C36" i="3"/>
  <c r="D36" i="3" s="1"/>
  <c r="D35" i="3"/>
  <c r="D34" i="3"/>
  <c r="D33" i="3"/>
  <c r="D32" i="3"/>
  <c r="D31" i="3"/>
  <c r="D30" i="3"/>
  <c r="J23" i="3"/>
  <c r="J24" i="3"/>
  <c r="J25" i="3"/>
  <c r="J26" i="3"/>
  <c r="J27" i="3"/>
  <c r="J28" i="3"/>
  <c r="J29" i="3"/>
  <c r="J22" i="3"/>
  <c r="I29" i="3"/>
  <c r="I24" i="3"/>
  <c r="I25" i="3"/>
  <c r="I26" i="3"/>
  <c r="I27" i="3"/>
  <c r="I28" i="3"/>
  <c r="I23" i="3"/>
  <c r="H29" i="3"/>
  <c r="H24" i="3"/>
  <c r="H25" i="3"/>
  <c r="H26" i="3"/>
  <c r="H27" i="3"/>
  <c r="H28" i="3"/>
  <c r="H23" i="3"/>
  <c r="G29" i="3"/>
  <c r="F29" i="3"/>
  <c r="G28" i="3"/>
  <c r="G27" i="3"/>
  <c r="G26" i="3"/>
  <c r="G25" i="3"/>
  <c r="G24" i="3"/>
  <c r="G23" i="3"/>
  <c r="C29" i="3"/>
  <c r="D29" i="3" s="1"/>
  <c r="D28" i="3"/>
  <c r="D27" i="3"/>
  <c r="D26" i="3"/>
  <c r="D25" i="3"/>
  <c r="D24" i="3"/>
  <c r="D23" i="3"/>
  <c r="J15" i="3"/>
  <c r="J16" i="3"/>
  <c r="J17" i="3"/>
  <c r="J18" i="3"/>
  <c r="J19" i="3"/>
  <c r="J20" i="3"/>
  <c r="J21" i="3"/>
  <c r="J14" i="3"/>
  <c r="I22" i="3"/>
  <c r="I15" i="3"/>
  <c r="I16" i="3"/>
  <c r="I17" i="3"/>
  <c r="I18" i="3"/>
  <c r="I19" i="3"/>
  <c r="I20" i="3"/>
  <c r="I21" i="3"/>
  <c r="I14" i="3"/>
  <c r="H22" i="3"/>
  <c r="H15" i="3"/>
  <c r="H16" i="3"/>
  <c r="H17" i="3"/>
  <c r="H18" i="3"/>
  <c r="H19" i="3"/>
  <c r="H20" i="3"/>
  <c r="H21" i="3"/>
  <c r="H14" i="3"/>
  <c r="F22" i="3"/>
  <c r="G22" i="3" s="1"/>
  <c r="G21" i="3"/>
  <c r="G20" i="3"/>
  <c r="G19" i="3"/>
  <c r="G18" i="3"/>
  <c r="G17" i="3"/>
  <c r="G16" i="3"/>
  <c r="G15" i="3"/>
  <c r="G14" i="3"/>
  <c r="D14" i="3"/>
  <c r="D15" i="3"/>
  <c r="D16" i="3"/>
  <c r="D17" i="3"/>
  <c r="D18" i="3"/>
  <c r="D19" i="3"/>
  <c r="D20" i="3"/>
  <c r="D21" i="3"/>
  <c r="C22" i="3"/>
  <c r="D22" i="3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  <c r="I3" i="4" s="1"/>
  <c r="G3" i="4"/>
  <c r="I4" i="3"/>
  <c r="I5" i="3"/>
  <c r="I6" i="3"/>
  <c r="I7" i="3"/>
  <c r="I8" i="3"/>
  <c r="I9" i="3"/>
  <c r="I10" i="3"/>
  <c r="I11" i="3"/>
  <c r="I3" i="3"/>
  <c r="H4" i="3"/>
  <c r="H5" i="3"/>
  <c r="H6" i="3"/>
  <c r="H7" i="3"/>
  <c r="H8" i="3"/>
  <c r="H9" i="3"/>
  <c r="H10" i="3"/>
  <c r="H11" i="3"/>
  <c r="H3" i="3"/>
  <c r="F26" i="4"/>
  <c r="F27" i="4"/>
  <c r="F28" i="4"/>
  <c r="F29" i="4"/>
  <c r="F30" i="4"/>
  <c r="F31" i="4"/>
  <c r="F32" i="4"/>
  <c r="E32" i="4"/>
  <c r="D32" i="4"/>
  <c r="C32" i="4"/>
  <c r="D26" i="4"/>
  <c r="D27" i="4"/>
  <c r="D28" i="4"/>
  <c r="D29" i="4"/>
  <c r="D30" i="4"/>
  <c r="D31" i="4"/>
  <c r="F20" i="4"/>
  <c r="F21" i="4"/>
  <c r="F22" i="4"/>
  <c r="F23" i="4"/>
  <c r="F24" i="4"/>
  <c r="F19" i="4"/>
  <c r="D20" i="4"/>
  <c r="D21" i="4"/>
  <c r="D22" i="4"/>
  <c r="D23" i="4"/>
  <c r="D24" i="4"/>
  <c r="D19" i="4"/>
  <c r="C25" i="4"/>
  <c r="D25" i="4" s="1"/>
  <c r="E25" i="4"/>
  <c r="F25" i="4" s="1"/>
  <c r="F13" i="4"/>
  <c r="F14" i="4"/>
  <c r="F15" i="4"/>
  <c r="F16" i="4"/>
  <c r="F17" i="4"/>
  <c r="F12" i="4"/>
  <c r="E18" i="4"/>
  <c r="F18" i="4" s="1"/>
  <c r="D13" i="4"/>
  <c r="D14" i="4"/>
  <c r="D15" i="4"/>
  <c r="D16" i="4"/>
  <c r="D17" i="4"/>
  <c r="D12" i="4"/>
  <c r="C18" i="4"/>
  <c r="F4" i="4"/>
  <c r="F5" i="4"/>
  <c r="F6" i="4"/>
  <c r="F7" i="4"/>
  <c r="F8" i="4"/>
  <c r="F9" i="4"/>
  <c r="F10" i="4"/>
  <c r="E11" i="4"/>
  <c r="F11" i="4" s="1"/>
  <c r="F3" i="4"/>
  <c r="D4" i="4"/>
  <c r="D5" i="4"/>
  <c r="D6" i="4"/>
  <c r="D7" i="4"/>
  <c r="D8" i="4"/>
  <c r="D9" i="4"/>
  <c r="D10" i="4"/>
  <c r="D3" i="4"/>
  <c r="C11" i="4"/>
  <c r="D11" i="4" s="1"/>
  <c r="AE85" i="2"/>
  <c r="I44" i="5" l="1"/>
  <c r="I43" i="5"/>
  <c r="G62" i="5"/>
  <c r="H62" i="5" s="1"/>
  <c r="I46" i="5"/>
  <c r="H62" i="7"/>
  <c r="F18" i="7"/>
  <c r="F63" i="7"/>
  <c r="F22" i="7" s="1"/>
  <c r="D125" i="7" s="1"/>
  <c r="D111" i="7"/>
  <c r="F41" i="7"/>
  <c r="G41" i="7" s="1"/>
  <c r="D37" i="7"/>
  <c r="H37" i="7" s="1"/>
  <c r="G36" i="7"/>
  <c r="G40" i="7"/>
  <c r="H40" i="7"/>
  <c r="F11" i="7"/>
  <c r="G10" i="7"/>
  <c r="H10" i="7"/>
  <c r="D11" i="7"/>
  <c r="F8" i="7"/>
  <c r="D8" i="7"/>
  <c r="H8" i="7" s="1"/>
  <c r="G7" i="7"/>
  <c r="D15" i="7"/>
  <c r="D17" i="7" s="1"/>
  <c r="M33" i="7"/>
  <c r="D21" i="7"/>
  <c r="G21" i="7" s="1"/>
  <c r="M31" i="7"/>
  <c r="F23" i="7"/>
  <c r="M32" i="7"/>
  <c r="D18" i="7"/>
  <c r="D20" i="7" s="1"/>
  <c r="I69" i="7"/>
  <c r="G15" i="7"/>
  <c r="H15" i="7" s="1"/>
  <c r="D22" i="7"/>
  <c r="D124" i="7" s="1"/>
  <c r="F17" i="7"/>
  <c r="F20" i="7"/>
  <c r="G19" i="7"/>
  <c r="H19" i="7"/>
  <c r="G16" i="7"/>
  <c r="H16" i="7" s="1"/>
  <c r="I68" i="7"/>
  <c r="F5" i="7"/>
  <c r="G9" i="7"/>
  <c r="H9" i="7"/>
  <c r="G6" i="7"/>
  <c r="H6" i="7"/>
  <c r="H57" i="7"/>
  <c r="H59" i="7"/>
  <c r="F60" i="7"/>
  <c r="G33" i="7"/>
  <c r="H33" i="7" s="1"/>
  <c r="D5" i="7"/>
  <c r="H63" i="7"/>
  <c r="G53" i="7"/>
  <c r="H53" i="7" s="1"/>
  <c r="D56" i="7"/>
  <c r="G61" i="7"/>
  <c r="G55" i="7"/>
  <c r="H55" i="7" s="1"/>
  <c r="H61" i="7"/>
  <c r="G3" i="7"/>
  <c r="H3" i="7" s="1"/>
  <c r="G32" i="7"/>
  <c r="H32" i="7" s="1"/>
  <c r="G59" i="7"/>
  <c r="F64" i="7"/>
  <c r="D60" i="7"/>
  <c r="G57" i="7"/>
  <c r="D64" i="7"/>
  <c r="G4" i="7"/>
  <c r="H4" i="7" s="1"/>
  <c r="D70" i="7"/>
  <c r="I70" i="7" s="1"/>
  <c r="G62" i="7"/>
  <c r="F56" i="7"/>
  <c r="H58" i="7"/>
  <c r="I45" i="5"/>
  <c r="I47" i="5"/>
  <c r="H48" i="5"/>
  <c r="I48" i="5" s="1"/>
  <c r="I42" i="5"/>
  <c r="I49" i="5"/>
  <c r="I50" i="5"/>
  <c r="I52" i="5"/>
  <c r="I53" i="5"/>
  <c r="I54" i="5"/>
  <c r="I51" i="5"/>
  <c r="H55" i="5"/>
  <c r="I55" i="5" s="1"/>
  <c r="G55" i="5"/>
  <c r="G48" i="5"/>
  <c r="I40" i="5"/>
  <c r="I38" i="5"/>
  <c r="G10" i="5"/>
  <c r="I36" i="5"/>
  <c r="I39" i="5"/>
  <c r="I37" i="5"/>
  <c r="G25" i="5"/>
  <c r="G14" i="5"/>
  <c r="G21" i="5"/>
  <c r="G6" i="5"/>
  <c r="G29" i="5"/>
  <c r="G41" i="5"/>
  <c r="H35" i="5"/>
  <c r="I35" i="5" s="1"/>
  <c r="D18" i="4"/>
  <c r="H41" i="7" l="1"/>
  <c r="G63" i="7"/>
  <c r="G11" i="7"/>
  <c r="G8" i="7"/>
  <c r="G37" i="7"/>
  <c r="H11" i="7"/>
  <c r="D23" i="7"/>
  <c r="H23" i="7" s="1"/>
  <c r="H18" i="7"/>
  <c r="G17" i="7"/>
  <c r="H17" i="7" s="1"/>
  <c r="G18" i="7"/>
  <c r="G20" i="7"/>
  <c r="H21" i="7"/>
  <c r="H22" i="7"/>
  <c r="G22" i="7"/>
  <c r="H20" i="7"/>
  <c r="G60" i="7"/>
  <c r="G5" i="7"/>
  <c r="H5" i="7" s="1"/>
  <c r="H64" i="7"/>
  <c r="G56" i="7"/>
  <c r="H56" i="7" s="1"/>
  <c r="G64" i="7"/>
  <c r="H60" i="7"/>
  <c r="H41" i="5"/>
  <c r="I41" i="5" s="1"/>
  <c r="G2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tc={F5999091-1B88-4147-A790-132200C9BEA3}</author>
    <author>tc={7208F77F-A8E5-4263-98C5-8AC770E633DB}</author>
  </authors>
  <commentList>
    <comment ref="T4" authorId="0" shapeId="0" xr:uid="{F5999091-1B88-4147-A790-132200C9BEA3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about audio &amp; video applications?
Reply:
    The initial approach is to work on the existing Cube2 examples. Currently, there are no developed examples for audio and video applications.
Reply:
    Indeed, agreement is to consider as well validation examples, and for USBX we have validation examples for audio and video. 
Reply:
    feedback implemented.</t>
      </text>
    </comment>
    <comment ref="C86" authorId="1" shapeId="0" xr:uid="{7208F77F-A8E5-4263-98C5-8AC770E633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Any recommendation on the safety margin?
Reply:
    We have applied safety margins on the thread stack sizes and buffer sizes. 
I recommend a 10% margin on USBX_DEVICE_MEMORY_STACK_SIZE (to be confirmed with Aymen).
Reply:
    @Aymen BOUATTAY please confirm if OK for you. If yes, I recommend o add such indication in the recommendation table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tc={75C38A8B-D1DA-4681-8BCC-701B4955C8C7}</author>
  </authors>
  <commentList>
    <comment ref="H20" authorId="0" shapeId="0" xr:uid="{75C38A8B-D1DA-4681-8BCC-701B4955C8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Yellow color shows different macros values </t>
      </text>
    </comment>
  </commentList>
</comments>
</file>

<file path=xl/sharedStrings.xml><?xml version="1.0" encoding="utf-8"?>
<sst xmlns="http://schemas.openxmlformats.org/spreadsheetml/2006/main" count="3772" uniqueCount="433">
  <si>
    <t>CLASS HID</t>
  </si>
  <si>
    <t>CLASS MSC</t>
  </si>
  <si>
    <t>CLASS CDC-ACM</t>
  </si>
  <si>
    <t>CLASS HUB+MSC+HID(mouse+keyboard)</t>
  </si>
  <si>
    <t>CLASS VIDEO</t>
  </si>
  <si>
    <t>CLASS AUDIO</t>
  </si>
  <si>
    <t>HOST ( KEYBOARD + MOUSE )</t>
  </si>
  <si>
    <t>DEVICE ( MOUSE )</t>
  </si>
  <si>
    <t>HOST</t>
  </si>
  <si>
    <t>DEVICE</t>
  </si>
  <si>
    <t>OS</t>
  </si>
  <si>
    <t>NO OS</t>
  </si>
  <si>
    <t>host_hid_freertos</t>
  </si>
  <si>
    <t>host_hid_no_os</t>
  </si>
  <si>
    <t>device_hid_mouse_freertos</t>
  </si>
  <si>
    <t>device_hid_mouse_no_os</t>
  </si>
  <si>
    <t>host_msc_freertos</t>
  </si>
  <si>
    <t>host_cdc_acm_freertos</t>
  </si>
  <si>
    <t>device_cdc_acm_uart_freertos</t>
  </si>
  <si>
    <t>usbx_host_hub_msc_hid_freertos</t>
  </si>
  <si>
    <t>host_video_os</t>
  </si>
  <si>
    <t>device_video_os</t>
  </si>
  <si>
    <t>device_video_no_os</t>
  </si>
  <si>
    <t>host_audio_os</t>
  </si>
  <si>
    <t>device_audio_os</t>
  </si>
  <si>
    <t>device_audio_no_os</t>
  </si>
  <si>
    <t>STM32U575I-EV</t>
  </si>
  <si>
    <t>B-U585I-IOT02A</t>
  </si>
  <si>
    <t>STM32U5A9J-DK</t>
  </si>
  <si>
    <t>Default Conf</t>
  </si>
  <si>
    <t>Low Footprint Conf</t>
  </si>
  <si>
    <t>Core Utilities</t>
  </si>
  <si>
    <t>UX_ENFORCE_SAFE_ALIGNMENT</t>
  </si>
  <si>
    <t>DISABLED</t>
  </si>
  <si>
    <t>UX_ENABLE_DEBUG_LOG</t>
  </si>
  <si>
    <t>UX_DEBUG_LOG_SIZE</t>
  </si>
  <si>
    <t>*</t>
  </si>
  <si>
    <t>UX_ENABLE_ASSERT</t>
  </si>
  <si>
    <t>UX_ASSERT_FAIL</t>
  </si>
  <si>
    <t>UX_ENABLE_ERROR_CHECKING</t>
  </si>
  <si>
    <t>UX_ENABLE_PARAM_CHECKING</t>
  </si>
  <si>
    <t>UX_STANDALONE</t>
  </si>
  <si>
    <t>ENABLED</t>
  </si>
  <si>
    <t>UX_ALIGN_MIN</t>
  </si>
  <si>
    <t>UX_ALIGN_8</t>
  </si>
  <si>
    <t>UX_PERIODIC_RATE</t>
  </si>
  <si>
    <t>UX_CONTROL_TRANSFER_TIMEOUT</t>
  </si>
  <si>
    <t>UX_NON_CONTROL_TRANSFER_TIMEOUT</t>
  </si>
  <si>
    <t>UX_HOST_DEVICE_CLASS_CODE_VALIDATION_ENABLE</t>
  </si>
  <si>
    <t>UX_NAME_REFERENCED_BY_POINTER</t>
  </si>
  <si>
    <t>OTG</t>
  </si>
  <si>
    <t>UX_OTG_SUPPORT</t>
  </si>
  <si>
    <t>HOST Core</t>
  </si>
  <si>
    <t>UX_HOST_SIDE_ONLY</t>
  </si>
  <si>
    <t>UX_HOST_ENUM_THREAD_STACK_SIZE</t>
  </si>
  <si>
    <t>UX_HOST_HCD_THREAD_STACK_SIZE</t>
  </si>
  <si>
    <t>UX_HOST_HNP_POLLING_THREAD_STACK_SIZE</t>
  </si>
  <si>
    <t>UX_MAX_CLASSES</t>
  </si>
  <si>
    <t>UX_THREAD_STACK_SIZE</t>
  </si>
  <si>
    <t>UX_MAX_HCD</t>
  </si>
  <si>
    <t>UX_MAX_DEVICES</t>
  </si>
  <si>
    <t>UX_MAX_TT</t>
  </si>
  <si>
    <t xml:space="preserve">UX_MAX_ED </t>
  </si>
  <si>
    <t>UX_MAX_TD</t>
  </si>
  <si>
    <t>UX_MAX_ISO_TD</t>
  </si>
  <si>
    <t>UX_MAX_ROOTHUB_PORT</t>
  </si>
  <si>
    <t>DEVICE Core</t>
  </si>
  <si>
    <t>UX_DEVICE_SIDE_ONLY</t>
  </si>
  <si>
    <t>UX_SLAVE_REQUEST_CONTROL_MAX_LENGTH</t>
  </si>
  <si>
    <t>UX_MAX_SLAVE_CLASS_DRIVER</t>
  </si>
  <si>
    <t>UX_MAX_SLAVE_INTERFACES</t>
  </si>
  <si>
    <t>UX_DEVICE_ENDPOINT_BUFFER_OWNER</t>
  </si>
  <si>
    <t>UX_SLAVE_REQUEST_DATA_MAX_LENGTH</t>
  </si>
  <si>
    <t>UX_DEVICE_ENABLE_GET_STRING_WITH_ZERO_LANGUAGE_ID</t>
  </si>
  <si>
    <t>UX_DEVICE_INITIALIZE_FRAMEWORK_SCAN_DISABLE</t>
  </si>
  <si>
    <t>UX_MAX_DEVICE_ENDPOINTS</t>
  </si>
  <si>
    <t>UX_MAX_DEVICE_INTERFACES</t>
  </si>
  <si>
    <t>UX_DEVICE_BIDIRECTIONAL_ENDPOINT_SUPPORT</t>
  </si>
  <si>
    <t>UX_DEVICE_ALTERNATE_SETTING_SUPPORT_DISABLE</t>
  </si>
  <si>
    <t>HID CLASS</t>
  </si>
  <si>
    <t>UX_HOST_CLASS_HID_INTERRUPT_OUT_SUPPORT</t>
  </si>
  <si>
    <t>UX_HOST_CLASS_HID_REPORT_TRANSFER_TIMEOUT</t>
  </si>
  <si>
    <t>UX_HOST_CLASS_HID_DECOMPRESSION_BUFFER</t>
  </si>
  <si>
    <t>UX_HOST_CLASS_HID_USAGES</t>
  </si>
  <si>
    <t>UX_HOST_CLASS_HID_KEYBOARD_EVENTS_KEY_CHANGES_MODE</t>
  </si>
  <si>
    <t>UX_HOST_CLASS_HID_KEYBOARD_EVENTS_KEY_CHANGES_MODE_REPORT_KEY_DOWN_ONLY</t>
  </si>
  <si>
    <t>UX_HOST_CLASS_HID_KEYBOARD_EVENTS_KEY_CHANGES_MODE_REPORT_LOCK_KEYS</t>
  </si>
  <si>
    <t>UX_HOST_CLASS_HID_KEYBOARD_EVENTS_KEY_CHANGES_MODE_REPORT_MODIFIER_KEYS</t>
  </si>
  <si>
    <t>UX_DEVICE_CLASS_HID_EVENT_BUFFER_LENGTH</t>
  </si>
  <si>
    <t>UX_DEVICE_CLASS_HID_MAX_EVENTS_QUEUE</t>
  </si>
  <si>
    <t>UX_DEVICE_CLASS_HID_INTERRUPT_OUT_SUPPORT</t>
  </si>
  <si>
    <t>UX_DEVICE_CLASS_HID_ZERO_COPY</t>
  </si>
  <si>
    <t>MSC CLASS</t>
  </si>
  <si>
    <t>UX_HOST_CLASS_STORAGE_MEMORY_BUFFER_SIZE</t>
  </si>
  <si>
    <t>UX_HOST_CLASS_STORAGE_THREAD_STACK_SIZE</t>
  </si>
  <si>
    <t>UX_HOST_CLASS_STORAGE_MAX_MEDIA</t>
  </si>
  <si>
    <t>UX_HOST_CLASS_STORAGE_INCLUDE_LEGACY_PROTOCOL_SUPPORT</t>
  </si>
  <si>
    <t>UX_HOST_CLASS_STORAGE_MAX_TRANSFER_SIZE</t>
  </si>
  <si>
    <t>UX_HOST_CLASS_STORAGE_NO_FILEX</t>
  </si>
  <si>
    <t>UX_MAX_HOST_LUN</t>
  </si>
  <si>
    <t>UX_MAX_SLAVE_LUN</t>
  </si>
  <si>
    <t>UX_SLAVE_CLASS_STORAGE_INCLUDE_MMC</t>
  </si>
  <si>
    <t>CDC-ACM CLASS</t>
  </si>
  <si>
    <t>UX_DEVICE_CLASS_CDC_ACM_ZERO_COPY</t>
  </si>
  <si>
    <t>UX_DEVICE_CLASS_CDC_ACM_TRANSMISSION_DISABLE</t>
  </si>
  <si>
    <t>UX_DEVICE_CLASS_CDC_ACM_WRITE_AUTO_ZLP</t>
  </si>
  <si>
    <t>VIDEO CLASS</t>
  </si>
  <si>
    <t>UX_HOST_CLASS_VIDEO_TRANSFER_REQUEST_COUNT</t>
  </si>
  <si>
    <t>AUDIO CLASS</t>
  </si>
  <si>
    <t>UX_HOST_CLASS_AUDIO_2_SUPPORT</t>
  </si>
  <si>
    <t>UX_HOST_CLASS_AUDIO_FEEDBACK_SUPPORT</t>
  </si>
  <si>
    <t>UX_HOST_CLASS_AUDIO_INTERRUPT_SUPPORT</t>
  </si>
  <si>
    <t>UX_DEVICE_CLASS_AUDIO_FEEDBACK_SUPPORT</t>
  </si>
  <si>
    <t>UX_DEVICE_CLASS_AUDIO_FEEDBACK_ENDPOINT_BUFFER_SIZE</t>
  </si>
  <si>
    <t>UX_DEVICE_CLASS_AUDIO_INTERRUPT_SUPPORT</t>
  </si>
  <si>
    <t> </t>
  </si>
  <si>
    <t>FreeRTOS</t>
  </si>
  <si>
    <t>configMINIMAL_STACK_SIZE</t>
  </si>
  <si>
    <t>configTOTAL_HEAP_SIZE</t>
  </si>
  <si>
    <t>48*1024</t>
  </si>
  <si>
    <t>23*1024</t>
  </si>
  <si>
    <t>32*1024</t>
  </si>
  <si>
    <t>8*1024</t>
  </si>
  <si>
    <t>15*1024</t>
  </si>
  <si>
    <t>4*1024</t>
  </si>
  <si>
    <t>64*1024</t>
  </si>
  <si>
    <t>43*1024</t>
  </si>
  <si>
    <t>20*1024</t>
  </si>
  <si>
    <t>11*1024</t>
  </si>
  <si>
    <t>ROM Footprint</t>
  </si>
  <si>
    <t>RAM Footprint</t>
  </si>
  <si>
    <t>USBX_DEVICE_MEMORY_STACK_SIZE</t>
  </si>
  <si>
    <t>ROM %Gain vs default config</t>
  </si>
  <si>
    <t>RAM %Gain vs default config</t>
  </si>
  <si>
    <t>USBX STACK Allocation%Gain vs default config</t>
  </si>
  <si>
    <r>
      <t xml:space="preserve">The values of </t>
    </r>
    <r>
      <rPr>
        <b/>
        <sz val="11"/>
        <color rgb="FFFF0000"/>
        <rFont val="Aptos Narrow"/>
        <family val="2"/>
      </rPr>
      <t xml:space="preserve">USBX_DEVICE_MEMORY_STACK_SIZE </t>
    </r>
    <r>
      <rPr>
        <b/>
        <sz val="11"/>
        <color rgb="FF000000"/>
        <rFont val="Aptos Narrow"/>
        <family val="2"/>
      </rPr>
      <t>shown in the table correspond to the minimum memory threshold observed during testing to maintain application stability in the evaluated configuration.</t>
    </r>
  </si>
  <si>
    <t>To ensure optimal stability under real-world conditions, it is recommended to include an additional safety margin when integrating into a project.</t>
  </si>
  <si>
    <t>USBX class</t>
  </si>
  <si>
    <t>First project</t>
  </si>
  <si>
    <t xml:space="preserve">Low footprint project </t>
  </si>
  <si>
    <t>Footprint gain%</t>
  </si>
  <si>
    <t xml:space="preserve">Footprint </t>
  </si>
  <si>
    <t>Default project footprint</t>
  </si>
  <si>
    <t>Footprint</t>
  </si>
  <si>
    <t>%Gain vs default config</t>
  </si>
  <si>
    <t xml:space="preserve">%Gain vs first version </t>
  </si>
  <si>
    <t>HID</t>
  </si>
  <si>
    <t>RO code</t>
  </si>
  <si>
    <t>RO data</t>
  </si>
  <si>
    <t>RW data</t>
  </si>
  <si>
    <t>CDC</t>
  </si>
  <si>
    <t>MSC</t>
  </si>
  <si>
    <t>Initialization functions</t>
  </si>
  <si>
    <t>First project Execution time(ms)</t>
  </si>
  <si>
    <t>Low footprint project Execution time(ms)</t>
  </si>
  <si>
    <t xml:space="preserve">Execution time gain vs First version </t>
  </si>
  <si>
    <t>cycles</t>
  </si>
  <si>
    <t>Time(ms)</t>
  </si>
  <si>
    <t>Cycles</t>
  </si>
  <si>
    <t>Time (ms)</t>
  </si>
  <si>
    <t>%</t>
  </si>
  <si>
    <t>ux_system_initialize</t>
  </si>
  <si>
    <t>ux_host_stack_initialize</t>
  </si>
  <si>
    <t>ux_host_stack_class_register (HID class)</t>
  </si>
  <si>
    <t>ux_host_class_hid_client_register (mouse)</t>
  </si>
  <si>
    <t>ux_host_class_hid_client_register (keyboard)</t>
  </si>
  <si>
    <t>HAL_HCD_Start</t>
  </si>
  <si>
    <t>MX_USB_HCD_Init</t>
  </si>
  <si>
    <t>ux_host_stack_hcd_register</t>
  </si>
  <si>
    <t>TOTAL (sum of leaf cycles)</t>
  </si>
  <si>
    <t>CDC(200MHz)</t>
  </si>
  <si>
    <t>ux_device_stack_initialize</t>
  </si>
  <si>
    <t>ux_device_stack_class_register (CDC ACM)</t>
  </si>
  <si>
    <t>MX_USB_PCD_Init</t>
  </si>
  <si>
    <t>ux_dcd_stm32_initialize</t>
  </si>
  <si>
    <t>HAL_PCD_Start</t>
  </si>
  <si>
    <t>ux_host_stack_class_register (storage)</t>
  </si>
  <si>
    <t>HAL_HCD_Start (runtime host start)</t>
  </si>
  <si>
    <t xml:space="preserve">Existing project </t>
  </si>
  <si>
    <t xml:space="preserve">%Gain Expected (USBX/FreeRTOS) </t>
  </si>
  <si>
    <t>%Gain low footprint project vs 
existing project (USBX/ThreadX)</t>
  </si>
  <si>
    <t>ROM</t>
  </si>
  <si>
    <t>RAM</t>
  </si>
  <si>
    <t xml:space="preserve">Init execution time (ms) </t>
  </si>
  <si>
    <t>-</t>
  </si>
  <si>
    <t>Gain</t>
  </si>
  <si>
    <t>CDC(250MHz)</t>
  </si>
  <si>
    <t>Total</t>
  </si>
  <si>
    <t>Low_footprint projects</t>
  </si>
  <si>
    <t>Footprint gain Stm32 vs Renesas%</t>
  </si>
  <si>
    <t>RA6M5</t>
  </si>
  <si>
    <t xml:space="preserve">STM32h573I-DK </t>
  </si>
  <si>
    <t>Renesas RA6M5</t>
  </si>
  <si>
    <t>hhid_hcd_register</t>
  </si>
  <si>
    <t>ux_device_stack_class_register</t>
  </si>
  <si>
    <t>usb_peri_usbx_initialize</t>
  </si>
  <si>
    <t>R_USB_Open</t>
  </si>
  <si>
    <t>usb_peri_usbx_initialize_complete</t>
  </si>
  <si>
    <t>_ux_system_initialize</t>
  </si>
  <si>
    <t>ux_host_stack_class_register</t>
  </si>
  <si>
    <t>usb_host_usbx_initialize_common_complete</t>
  </si>
  <si>
    <t>Renesas Ra6m5</t>
  </si>
  <si>
    <t>STM32H573I-DK</t>
  </si>
  <si>
    <t xml:space="preserve">Execution Time Gain STM32H573I vs RA6M5 </t>
  </si>
  <si>
    <t>Low_foot_print macros values</t>
  </si>
  <si>
    <t>STM32H573I_DK</t>
  </si>
  <si>
    <t>RENESAS RA6M5</t>
  </si>
  <si>
    <t>UX_ENFORCE_SAFE_ALIGNMENT+C4:F45C80C4:F49C4:F56</t>
  </si>
  <si>
    <t>(2*1024)</t>
  </si>
  <si>
    <t>(1*1024)</t>
  </si>
  <si>
    <t>UX_SLAVE_REQUEST_DATA_MAX_LENGTH/DATA_LEN</t>
  </si>
  <si>
    <t>RTOS</t>
  </si>
  <si>
    <t>FX_APP_MEM_POOL_SIZE</t>
  </si>
  <si>
    <t>TX_APP_MEM_POOL_SIZE</t>
  </si>
  <si>
    <t>USBPD_DEVICE_APP_MEM_POOL_SIZE</t>
  </si>
  <si>
    <t>2 * 1024</t>
  </si>
  <si>
    <t>USBX_HOST_MEMORY_STACK_SIZE</t>
  </si>
  <si>
    <t>1024*20</t>
  </si>
  <si>
    <t>1024*17</t>
  </si>
  <si>
    <t>UX_DEVICE_APP_MEM_POOL_SIZE/MEMPOOL_SIZE</t>
  </si>
  <si>
    <t>UX_DEVICE_APP_THREAD_STACK_SIZE</t>
  </si>
  <si>
    <t>UX_HOST_APP_MEM_POOL_SIZE</t>
  </si>
  <si>
    <t>24*1024</t>
  </si>
  <si>
    <t>(32 * 1024)</t>
  </si>
  <si>
    <t>UX_HOST_APP_THREAD_PRIO</t>
  </si>
  <si>
    <t>UX_HOST_APP_THREAD_STACK_SIZE</t>
  </si>
  <si>
    <t>1024*2</t>
  </si>
  <si>
    <t>Footprint with rcc config</t>
  </si>
  <si>
    <t>MCX-N9</t>
  </si>
  <si>
    <t>Nucleo_stm32U5</t>
  </si>
  <si>
    <t>Bytes</t>
  </si>
  <si>
    <t xml:space="preserve">Footprint without rcc </t>
  </si>
  <si>
    <t>clock config footprint Total (bytes)</t>
  </si>
  <si>
    <t>Rapport</t>
  </si>
  <si>
    <t>Class</t>
  </si>
  <si>
    <t>Nucleo_Stm32U5</t>
  </si>
  <si>
    <t xml:space="preserve">Footprint after eliminating rcc </t>
  </si>
  <si>
    <t>MX_USB_Device_Init();</t>
  </si>
  <si>
    <t>MCU / Platform</t>
  </si>
  <si>
    <t>stm32u5</t>
  </si>
  <si>
    <t>Module</t>
  </si>
  <si>
    <t>Group</t>
  </si>
  <si>
    <t>RO Code (bytes)</t>
  </si>
  <si>
    <t>RO Data (bytes)</t>
  </si>
  <si>
    <t>RW Data (bytes)</t>
  </si>
  <si>
    <t>Total (bytes)</t>
  </si>
  <si>
    <t>stm32u5xx_hal_rcc</t>
  </si>
  <si>
    <t>config</t>
  </si>
  <si>
    <t>stm32u5xx_hal_rcc_ex</t>
  </si>
  <si>
    <t>MCX-N9MCX-N9</t>
  </si>
  <si>
    <t>fsl_clock</t>
  </si>
  <si>
    <t>clock_config</t>
  </si>
  <si>
    <t>fsl_reset</t>
  </si>
  <si>
    <t>stm32U5</t>
  </si>
  <si>
    <t>Footprint without rcc config</t>
  </si>
  <si>
    <t>STM32U575</t>
  </si>
  <si>
    <t>ST vs NXP (%)</t>
  </si>
  <si>
    <t>Average</t>
  </si>
  <si>
    <t>ROM w/ RCC config</t>
  </si>
  <si>
    <t>ROM w/o RCC config</t>
  </si>
  <si>
    <t>USB Class</t>
  </si>
  <si>
    <t>STM32U575 Clock</t>
  </si>
  <si>
    <t>MCX-N9 Clock</t>
  </si>
  <si>
    <t xml:space="preserve">STM32h573I-DK (Low footprint) </t>
  </si>
  <si>
    <t>ST vs Renesas</t>
  </si>
  <si>
    <t xml:space="preserve">Initialization Execution Time STM32H573I vs RA6M5 after footprint optimization </t>
  </si>
  <si>
    <t>Initialization Execution Time STM32H573I vs RA6M5 (initial project)</t>
  </si>
  <si>
    <t>ST vs NXP</t>
  </si>
  <si>
    <t>USBX applications</t>
  </si>
  <si>
    <t>ST/NXP USB Library applications</t>
  </si>
  <si>
    <t>Footprint with rcc</t>
  </si>
  <si>
    <t>CDC Device</t>
  </si>
  <si>
    <t>HID Device</t>
  </si>
  <si>
    <t>MSC Host</t>
  </si>
  <si>
    <t xml:space="preserve"> HID Host</t>
  </si>
  <si>
    <t xml:space="preserve"> CDC Device</t>
  </si>
  <si>
    <t xml:space="preserve"> MSC Host</t>
  </si>
  <si>
    <t xml:space="preserve"> Stm32 vs Renesas Gain%</t>
  </si>
  <si>
    <t xml:space="preserve">ST vs Renesas after optimization inspired from cube 2  </t>
  </si>
  <si>
    <t>clock_config gap (bytes)</t>
  </si>
  <si>
    <t xml:space="preserve">Execution time gain  </t>
  </si>
  <si>
    <t>GD32E507Z(CM33)</t>
  </si>
  <si>
    <t>STM32U573(CM33)</t>
  </si>
  <si>
    <t xml:space="preserve">ST vs Gigadevice footprint </t>
  </si>
  <si>
    <t xml:space="preserve">Init </t>
  </si>
  <si>
    <t xml:space="preserve">Enumeration </t>
  </si>
  <si>
    <t xml:space="preserve">Data transmission </t>
  </si>
  <si>
    <t>Data transmission (input)</t>
  </si>
  <si>
    <t>Data transmission (output)</t>
  </si>
  <si>
    <t>ST vs Gigadevice exection time (ms)</t>
  </si>
  <si>
    <t>ST vs Gigadevice Heap/stack</t>
  </si>
  <si>
    <t>needed Stack</t>
  </si>
  <si>
    <t>needed Heap</t>
  </si>
  <si>
    <t>ST vs Gigadevice footprint considering heap consumption</t>
  </si>
  <si>
    <t>FreeRtos Scenario</t>
  </si>
  <si>
    <t>Basic Processing Test</t>
  </si>
  <si>
    <t>Cooperative Test</t>
  </si>
  <si>
    <t>Preemptive Test</t>
  </si>
  <si>
    <t>Performance(threads/second)</t>
  </si>
  <si>
    <t>Cooperative Test(threads/30 seconds)</t>
  </si>
  <si>
    <t>Preemptive Test(threads/30 seconds)</t>
  </si>
  <si>
    <t>Basic Processing Test(threads/second)</t>
  </si>
  <si>
    <t>gain%</t>
  </si>
  <si>
    <t xml:space="preserve"> gain%</t>
  </si>
  <si>
    <t>STM32 (bytes)</t>
  </si>
  <si>
    <t>GD32 (bytes)</t>
  </si>
  <si>
    <t>Delta</t>
  </si>
  <si>
    <t>FreeRTOS Kernel — Identical on Both Platforms</t>
  </si>
  <si>
    <t>Object</t>
  </si>
  <si>
    <t>Basic Processing</t>
  </si>
  <si>
    <t>Cooperative</t>
  </si>
  <si>
    <t>Preemptive</t>
  </si>
  <si>
    <t>tasks.o</t>
  </si>
  <si>
    <t>queue.o</t>
  </si>
  <si>
    <t>timers.o</t>
  </si>
  <si>
    <t>list.o</t>
  </si>
  <si>
    <t>port.o</t>
  </si>
  <si>
    <t>portasm.o</t>
  </si>
  <si>
    <t>heap_4.o</t>
  </si>
  <si>
    <r>
      <t>4,742</t>
    </r>
    <r>
      <rPr>
        <sz val="11"/>
        <color theme="1"/>
        <rFont val="Segoe UI"/>
        <family val="2"/>
      </rPr>
      <t> (BP has +112 for basic_processing_logic)</t>
    </r>
  </si>
  <si>
    <t>HAL / Peripheral Drivers — Dominant Difference</t>
  </si>
  <si>
    <t>Clock (RCC/RCU)</t>
  </si>
  <si>
    <t>UART</t>
  </si>
  <si>
    <t>Timer (TIM6 timebase)</t>
  </si>
  <si>
    <t>GPIO</t>
  </si>
  <si>
    <t>Power (PWR)</t>
  </si>
  <si>
    <t>Cortex/NVIC</t>
  </si>
  <si>
    <t>HAL Core</t>
  </si>
  <si>
    <t>ICACHE</t>
  </si>
  <si>
    <t>Total HAL</t>
  </si>
  <si>
    <t>~11,184</t>
  </si>
  <si>
    <t>~1,248</t>
  </si>
  <si>
    <t>GD32</t>
  </si>
  <si>
    <t>STM32U5</t>
  </si>
  <si>
    <t>STM32</t>
  </si>
  <si>
    <t>RTOS Scenario</t>
  </si>
  <si>
    <t>GD32E507</t>
  </si>
  <si>
    <t>STM232 vs GD32</t>
  </si>
  <si>
    <t>Basic Processing ROM</t>
  </si>
  <si>
    <t>App</t>
  </si>
  <si>
    <t>HAL</t>
  </si>
  <si>
    <t>FreeRTOS stack</t>
  </si>
  <si>
    <t>Cooperative Processing ROM</t>
  </si>
  <si>
    <t xml:space="preserve">Preemptive Processing ROM </t>
  </si>
  <si>
    <t>MW stack</t>
  </si>
  <si>
    <t>USB Scenario</t>
  </si>
  <si>
    <t>STM32U576</t>
  </si>
  <si>
    <t>GD32E508</t>
  </si>
  <si>
    <t xml:space="preserve">App </t>
  </si>
  <si>
    <t xml:space="preserve">Cooperative Processing </t>
  </si>
  <si>
    <t xml:space="preserve">Preemptive Processing </t>
  </si>
  <si>
    <t>USB (bytes)</t>
  </si>
  <si>
    <t>PCD (bytes)</t>
  </si>
  <si>
    <t>RCC (bytes)</t>
  </si>
  <si>
    <t>Other HAL (bytes)</t>
  </si>
  <si>
    <t>Total HAL (bytes)</t>
  </si>
  <si>
    <t>PCD</t>
  </si>
  <si>
    <t xml:space="preserve">RCC </t>
  </si>
  <si>
    <t xml:space="preserve">Other HAL </t>
  </si>
  <si>
    <t xml:space="preserve">USB </t>
  </si>
  <si>
    <t>Basic Processing (Thread/s)</t>
  </si>
  <si>
    <t>Cooperative Processing (Thread/30s)</t>
  </si>
  <si>
    <t>Preemptive Processing (Thread/30s)</t>
  </si>
  <si>
    <t>Scenario</t>
  </si>
  <si>
    <t>MSP RO code</t>
  </si>
  <si>
    <t>MSP RO data</t>
  </si>
  <si>
    <t>MSP flash</t>
  </si>
  <si>
    <t>ST RO code</t>
  </si>
  <si>
    <t>ST RO data</t>
  </si>
  <si>
    <t>ST flash</t>
  </si>
  <si>
    <t>MSP RAM</t>
  </si>
  <si>
    <t>ST RAM</t>
  </si>
  <si>
    <t>ADC timer trigger</t>
  </si>
  <si>
    <t>GPIO toggle</t>
  </si>
  <si>
    <t>I2C DMA controller</t>
  </si>
  <si>
    <t>I2C DMA responder</t>
  </si>
  <si>
    <t>I2C IT controller</t>
  </si>
  <si>
    <t>I2C IT responder</t>
  </si>
  <si>
    <t>I2C polling controller</t>
  </si>
  <si>
    <t>I2C polling responder</t>
  </si>
  <si>
    <t>SPI DMA controller</t>
  </si>
  <si>
    <t>SPI DMA peripheral</t>
  </si>
  <si>
    <t>UART printf</t>
  </si>
  <si>
    <t>USART loopback</t>
  </si>
  <si>
    <t>ST flash delta bytes</t>
  </si>
  <si>
    <t>ST flash delta %</t>
  </si>
  <si>
    <t>ST RAM delta bytes</t>
  </si>
  <si>
    <t>ST RAM delta %</t>
  </si>
  <si>
    <t>Footprint gain</t>
  </si>
  <si>
    <t>TI</t>
  </si>
  <si>
    <t>ST vs TI footprint</t>
  </si>
  <si>
    <t>STM32 Flash</t>
  </si>
  <si>
    <t>TI Flash</t>
  </si>
  <si>
    <t>Flash Delta Bytes</t>
  </si>
  <si>
    <t>Flash Delta %</t>
  </si>
  <si>
    <t>STM32 RAM</t>
  </si>
  <si>
    <t>TI RAM</t>
  </si>
  <si>
    <t>RAM Delta Bytes</t>
  </si>
  <si>
    <t>RAM Delta %</t>
  </si>
  <si>
    <t>Basic processing</t>
  </si>
  <si>
    <t>Cooperative scheduling</t>
  </si>
  <si>
    <t>Preemptive scheduling</t>
  </si>
  <si>
    <t>FREERTOS</t>
  </si>
  <si>
    <t>Platform</t>
  </si>
  <si>
    <t>Code</t>
  </si>
  <si>
    <t>RO Data</t>
  </si>
  <si>
    <t>Init Data</t>
  </si>
  <si>
    <t>Zero/Uninit</t>
  </si>
  <si>
    <t>Flash</t>
  </si>
  <si>
    <t>Layer</t>
  </si>
  <si>
    <t>Flash STM32</t>
  </si>
  <si>
    <t>Flash TI</t>
  </si>
  <si>
    <t>Flash Delta</t>
  </si>
  <si>
    <t>RAM STM32</t>
  </si>
  <si>
    <t>RAM TI</t>
  </si>
  <si>
    <t>RAM Delta</t>
  </si>
  <si>
    <t>Application</t>
  </si>
  <si>
    <t>Middleware</t>
  </si>
  <si>
    <t>Low-level</t>
  </si>
  <si>
    <t>Metric</t>
  </si>
  <si>
    <t>Delta %</t>
  </si>
  <si>
    <t>thread/second</t>
  </si>
  <si>
    <t>thread/30s</t>
  </si>
  <si>
    <t>per-thread/second</t>
  </si>
  <si>
    <t>per-thread/30s</t>
  </si>
  <si>
    <t>total(5)/second</t>
  </si>
  <si>
    <t>Empty</t>
  </si>
  <si>
    <r>
      <t xml:space="preserve">TI DL based (startup: startup_mspm33c321x_iar.c)
Vector table (48 IRQs): 282 bytes
EWARM Runtime libraries : 134 bytes 
</t>
    </r>
    <r>
      <rPr>
        <b/>
        <sz val="11"/>
        <color theme="1"/>
        <rFont val="Aptos Narrow"/>
        <family val="2"/>
        <scheme val="minor"/>
      </rPr>
      <t>Total 416 bytes</t>
    </r>
    <r>
      <rPr>
        <sz val="11"/>
        <color theme="1"/>
        <rFont val="Aptos Narrow"/>
        <family val="2"/>
        <scheme val="minor"/>
      </rPr>
      <t xml:space="preserve">
C5 LL based  (startup + system files: startup_stm32c5a3xx.c/ system_stm32c5xx.c)
Vector table (115 IRQs) +  IRQ weak function: 508 bytes
system initialization (VTOR setting + EWARM Runtime libraries): 166 bytes
</t>
    </r>
    <r>
      <rPr>
        <b/>
        <sz val="11"/>
        <color theme="1"/>
        <rFont val="Aptos Narrow"/>
        <family val="2"/>
        <scheme val="minor"/>
      </rPr>
      <t>Total 674 bytes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The overall footprint examples will be normalized by 258 bytes </t>
    </r>
  </si>
  <si>
    <t>MSP33 ROM</t>
  </si>
  <si>
    <t>STM32C5 ROM</t>
  </si>
  <si>
    <t>STM32C5 ROM delta bytes</t>
  </si>
  <si>
    <t>STM32C5 ROM Normalized</t>
  </si>
  <si>
    <t>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</si>
</sst>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5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39C12"/>
      <name val="Segoe UI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006100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  <font>
      <sz val="10"/>
      <name val="Consolas"/>
      <family val="3"/>
    </font>
    <font>
      <b/>
      <sz val="10"/>
      <name val="Consolas"/>
      <family val="3"/>
    </font>
    <font>
      <b/>
      <sz val="11"/>
      <name val="Segoe UI"/>
      <family val="2"/>
    </font>
    <font>
      <b/>
      <sz val="11"/>
      <color theme="1"/>
      <name val="Segoe UI"/>
      <family val="2"/>
    </font>
    <font>
      <b/>
      <sz val="11"/>
      <color rgb="FFF39C12"/>
      <name val="Segoe UI"/>
      <family val="2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36"/>
      <color theme="4"/>
      <name val="Aptos Narrow"/>
      <family val="2"/>
      <scheme val="minor"/>
    </font>
    <font>
      <sz val="11"/>
      <color theme="1"/>
      <name val="Segoe UI"/>
      <family val="2"/>
    </font>
    <font>
      <sz val="11"/>
      <color rgb="FFC00000"/>
      <name val="Segoe UI"/>
      <family val="2"/>
    </font>
    <font>
      <b/>
      <sz val="11"/>
      <color rgb="FFC00000"/>
      <name val="Segoe UI"/>
      <family val="2"/>
    </font>
    <font>
      <b/>
      <sz val="11"/>
      <color theme="0"/>
      <name val="Aptos Narrow"/>
      <family val="2"/>
      <scheme val="minor"/>
    </font>
    <font>
      <b/>
      <sz val="10"/>
      <color rgb="FFFFFFFF"/>
      <name val="Arial"/>
    </font>
    <font>
      <b/>
      <sz val="10"/>
      <color rgb="FF002060"/>
      <name val="Arial"/>
    </font>
    <font>
      <b/>
      <sz val="10"/>
      <color rgb="FF03234B"/>
      <name val="Arial"/>
    </font>
    <font>
      <sz val="10"/>
      <color rgb="FF03234B"/>
      <name val="Arial"/>
    </font>
    <font>
      <b/>
      <sz val="10"/>
      <color rgb="FF00B050"/>
      <name val="Arial"/>
    </font>
    <font>
      <b/>
      <sz val="10"/>
      <color rgb="FFFF0000"/>
      <name val="Arial"/>
    </font>
    <font>
      <b/>
      <sz val="10"/>
      <color rgb="FFFF9900"/>
      <name val="Arial"/>
    </font>
    <font>
      <b/>
      <sz val="8"/>
      <color rgb="FFFFFFFF"/>
      <name val="Arial"/>
    </font>
    <font>
      <b/>
      <sz val="8"/>
      <color rgb="FF002060"/>
      <name val="Arial"/>
    </font>
    <font>
      <b/>
      <sz val="8"/>
      <color rgb="FF03234B"/>
      <name val="Arial"/>
    </font>
    <font>
      <sz val="8"/>
      <color rgb="FF03234B"/>
      <name val="Arial"/>
    </font>
    <font>
      <sz val="9"/>
      <color rgb="FF03234B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6" tint="-0.249977111117893"/>
      <name val="Arial"/>
      <family val="2"/>
    </font>
    <font>
      <b/>
      <sz val="11"/>
      <color rgb="FFFF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BE501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0066CC"/>
        <bgColor rgb="FF0066CC"/>
      </patternFill>
    </fill>
    <fill>
      <patternFill patternType="solid">
        <fgColor rgb="FFF5F7FA"/>
        <bgColor rgb="FFF5F7FA"/>
      </patternFill>
    </fill>
    <fill>
      <patternFill patternType="solid">
        <fgColor theme="9" tint="0.59999389629810485"/>
        <bgColor rgb="FF0066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3CB4E6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CEEBFF"/>
        <bgColor indexed="64"/>
      </patternFill>
    </fill>
    <fill>
      <patternFill patternType="solid">
        <fgColor rgb="FFFCFCFD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03234B"/>
      </right>
      <top style="thick">
        <color rgb="FF03234B"/>
      </top>
      <bottom style="medium">
        <color rgb="FF03234B"/>
      </bottom>
      <diagonal/>
    </border>
    <border>
      <left style="medium">
        <color rgb="FF03234B"/>
      </left>
      <right style="medium">
        <color rgb="FF03234B"/>
      </right>
      <top style="medium">
        <color rgb="FF03234B"/>
      </top>
      <bottom style="medium">
        <color rgb="FF03234B"/>
      </bottom>
      <diagonal/>
    </border>
    <border>
      <left style="medium">
        <color rgb="FF03234B"/>
      </left>
      <right style="medium">
        <color rgb="FF03234B"/>
      </right>
      <top style="medium">
        <color rgb="FF03234B"/>
      </top>
      <bottom/>
      <diagonal/>
    </border>
    <border>
      <left style="medium">
        <color rgb="FF03234B"/>
      </left>
      <right style="medium">
        <color rgb="FF03234B"/>
      </right>
      <top/>
      <bottom/>
      <diagonal/>
    </border>
    <border>
      <left style="medium">
        <color rgb="FF03234B"/>
      </left>
      <right style="medium">
        <color rgb="FF03234B"/>
      </right>
      <top/>
      <bottom style="medium">
        <color rgb="FF03234B"/>
      </bottom>
      <diagonal/>
    </border>
    <border>
      <left/>
      <right style="medium">
        <color rgb="FF03234B"/>
      </right>
      <top/>
      <bottom/>
      <diagonal/>
    </border>
    <border>
      <left/>
      <right style="medium">
        <color rgb="FF03234B"/>
      </right>
      <top style="thick">
        <color rgb="FF03234B"/>
      </top>
      <bottom style="thick">
        <color rgb="FF03234B"/>
      </bottom>
      <diagonal/>
    </border>
    <border>
      <left style="medium">
        <color rgb="FF03234B"/>
      </left>
      <right style="medium">
        <color rgb="FF03234B"/>
      </right>
      <top style="thick">
        <color rgb="FF03234B"/>
      </top>
      <bottom style="medium">
        <color rgb="FF03234B"/>
      </bottom>
      <diagonal/>
    </border>
    <border>
      <left/>
      <right style="medium">
        <color rgb="FF03234B"/>
      </right>
      <top style="thick">
        <color rgb="FF03234B"/>
      </top>
      <bottom/>
      <diagonal/>
    </border>
    <border>
      <left/>
      <right style="medium">
        <color rgb="FF03234B"/>
      </right>
      <top/>
      <bottom style="thick">
        <color rgb="FF03234B"/>
      </bottom>
      <diagonal/>
    </border>
  </borders>
  <cellStyleXfs count="12">
    <xf numFmtId="0" fontId="0" fillId="0" borderId="0"/>
    <xf numFmtId="9" fontId="14" fillId="0" borderId="0" applyFont="0" applyFill="0" applyBorder="0" applyAlignment="0" applyProtection="0"/>
    <xf numFmtId="0" fontId="15" fillId="27" borderId="82" applyNumberFormat="0" applyAlignment="0" applyProtection="0"/>
    <xf numFmtId="0" fontId="18" fillId="28" borderId="0" applyNumberFormat="0" applyBorder="0" applyAlignment="0" applyProtection="0"/>
    <xf numFmtId="0" fontId="19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38" fillId="46" borderId="98" applyNumberFormat="0" applyAlignment="0" applyProtection="0"/>
    <xf numFmtId="0" fontId="14" fillId="47" borderId="99" applyNumberFormat="0" applyFont="0" applyAlignment="0" applyProtection="0"/>
    <xf numFmtId="0" fontId="14" fillId="48" borderId="0" applyNumberFormat="0" applyBorder="0" applyAlignment="0" applyProtection="0"/>
  </cellStyleXfs>
  <cellXfs count="556">
    <xf numFmtId="0" fontId="0" fillId="0" borderId="0" xfId="0"/>
    <xf numFmtId="0" fontId="3" fillId="7" borderId="0" xfId="0" applyFont="1" applyFill="1"/>
    <xf numFmtId="0" fontId="1" fillId="7" borderId="0" xfId="0" applyFont="1" applyFill="1" applyAlignment="1">
      <alignment wrapText="1"/>
    </xf>
    <xf numFmtId="0" fontId="3" fillId="7" borderId="27" xfId="0" applyFont="1" applyFill="1" applyBorder="1"/>
    <xf numFmtId="0" fontId="3" fillId="7" borderId="50" xfId="0" applyFont="1" applyFill="1" applyBorder="1"/>
    <xf numFmtId="0" fontId="3" fillId="7" borderId="45" xfId="0" applyFont="1" applyFill="1" applyBorder="1"/>
    <xf numFmtId="0" fontId="4" fillId="0" borderId="1" xfId="0" applyFont="1" applyBorder="1"/>
    <xf numFmtId="0" fontId="4" fillId="0" borderId="42" xfId="0" applyFont="1" applyBorder="1"/>
    <xf numFmtId="0" fontId="4" fillId="0" borderId="8" xfId="0" applyFont="1" applyBorder="1"/>
    <xf numFmtId="0" fontId="4" fillId="0" borderId="42" xfId="0" applyFont="1" applyBorder="1" applyAlignment="1">
      <alignment wrapText="1"/>
    </xf>
    <xf numFmtId="0" fontId="4" fillId="0" borderId="38" xfId="0" applyFont="1" applyBorder="1"/>
    <xf numFmtId="0" fontId="4" fillId="0" borderId="40" xfId="0" applyFont="1" applyBorder="1"/>
    <xf numFmtId="0" fontId="4" fillId="0" borderId="39" xfId="0" applyFont="1" applyBorder="1"/>
    <xf numFmtId="0" fontId="5" fillId="4" borderId="14" xfId="0" applyFont="1" applyFill="1" applyBorder="1" applyAlignment="1">
      <alignment horizontal="left"/>
    </xf>
    <xf numFmtId="0" fontId="5" fillId="5" borderId="24" xfId="0" applyFont="1" applyFill="1" applyBorder="1" applyAlignment="1">
      <alignment horizontal="left" wrapText="1"/>
    </xf>
    <xf numFmtId="0" fontId="5" fillId="4" borderId="7" xfId="0" applyFont="1" applyFill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4" borderId="35" xfId="0" applyFont="1" applyFill="1" applyBorder="1" applyAlignment="1">
      <alignment horizontal="left"/>
    </xf>
    <xf numFmtId="0" fontId="5" fillId="0" borderId="14" xfId="0" applyFont="1" applyBorder="1" applyAlignment="1">
      <alignment horizontal="left" wrapText="1"/>
    </xf>
    <xf numFmtId="0" fontId="5" fillId="4" borderId="15" xfId="0" applyFont="1" applyFill="1" applyBorder="1" applyAlignment="1">
      <alignment horizontal="left"/>
    </xf>
    <xf numFmtId="0" fontId="5" fillId="0" borderId="37" xfId="0" applyFont="1" applyBorder="1" applyAlignment="1">
      <alignment horizontal="left" wrapText="1"/>
    </xf>
    <xf numFmtId="0" fontId="5" fillId="4" borderId="38" xfId="0" applyFont="1" applyFill="1" applyBorder="1" applyAlignment="1">
      <alignment horizontal="left" wrapText="1"/>
    </xf>
    <xf numFmtId="0" fontId="5" fillId="0" borderId="38" xfId="0" applyFont="1" applyBorder="1" applyAlignment="1">
      <alignment horizontal="left" wrapText="1"/>
    </xf>
    <xf numFmtId="0" fontId="5" fillId="4" borderId="39" xfId="0" applyFont="1" applyFill="1" applyBorder="1" applyAlignment="1">
      <alignment horizontal="left" wrapText="1"/>
    </xf>
    <xf numFmtId="0" fontId="5" fillId="0" borderId="40" xfId="0" applyFont="1" applyBorder="1" applyAlignment="1">
      <alignment horizontal="left" wrapText="1"/>
    </xf>
    <xf numFmtId="0" fontId="5" fillId="4" borderId="38" xfId="0" applyFont="1" applyFill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5" borderId="38" xfId="0" applyFont="1" applyFill="1" applyBorder="1" applyAlignment="1">
      <alignment horizontal="left" wrapText="1"/>
    </xf>
    <xf numFmtId="0" fontId="5" fillId="5" borderId="40" xfId="0" applyFont="1" applyFill="1" applyBorder="1" applyAlignment="1">
      <alignment horizontal="left" wrapText="1"/>
    </xf>
    <xf numFmtId="0" fontId="5" fillId="4" borderId="8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5" fillId="0" borderId="42" xfId="0" applyFont="1" applyBorder="1" applyAlignment="1">
      <alignment horizontal="left" wrapText="1"/>
    </xf>
    <xf numFmtId="0" fontId="5" fillId="6" borderId="38" xfId="0" applyFont="1" applyFill="1" applyBorder="1" applyAlignment="1">
      <alignment horizontal="left" wrapText="1"/>
    </xf>
    <xf numFmtId="0" fontId="5" fillId="0" borderId="35" xfId="0" applyFont="1" applyBorder="1" applyAlignment="1">
      <alignment horizontal="left" wrapText="1"/>
    </xf>
    <xf numFmtId="0" fontId="5" fillId="0" borderId="36" xfId="0" applyFont="1" applyBorder="1" applyAlignment="1">
      <alignment horizontal="left" wrapText="1"/>
    </xf>
    <xf numFmtId="0" fontId="5" fillId="4" borderId="6" xfId="0" applyFont="1" applyFill="1" applyBorder="1" applyAlignment="1">
      <alignment horizontal="left"/>
    </xf>
    <xf numFmtId="0" fontId="5" fillId="5" borderId="26" xfId="0" applyFont="1" applyFill="1" applyBorder="1" applyAlignment="1">
      <alignment horizontal="left" wrapText="1"/>
    </xf>
    <xf numFmtId="0" fontId="5" fillId="4" borderId="26" xfId="0" applyFont="1" applyFill="1" applyBorder="1" applyAlignment="1">
      <alignment horizontal="left"/>
    </xf>
    <xf numFmtId="0" fontId="5" fillId="0" borderId="26" xfId="0" applyFont="1" applyBorder="1" applyAlignment="1">
      <alignment horizontal="left" wrapText="1"/>
    </xf>
    <xf numFmtId="0" fontId="5" fillId="0" borderId="43" xfId="0" applyFont="1" applyBorder="1" applyAlignment="1">
      <alignment horizontal="left" wrapText="1"/>
    </xf>
    <xf numFmtId="0" fontId="5" fillId="4" borderId="8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5" fillId="0" borderId="44" xfId="0" applyFont="1" applyBorder="1" applyAlignment="1">
      <alignment horizontal="left" wrapText="1"/>
    </xf>
    <xf numFmtId="0" fontId="5" fillId="0" borderId="45" xfId="0" applyFont="1" applyBorder="1" applyAlignment="1">
      <alignment horizontal="left" wrapText="1"/>
    </xf>
    <xf numFmtId="0" fontId="3" fillId="7" borderId="0" xfId="0" applyFont="1" applyFill="1" applyAlignment="1">
      <alignment horizontal="left"/>
    </xf>
    <xf numFmtId="0" fontId="1" fillId="7" borderId="0" xfId="0" applyFont="1" applyFill="1" applyAlignment="1">
      <alignment horizontal="left" wrapText="1"/>
    </xf>
    <xf numFmtId="0" fontId="3" fillId="7" borderId="27" xfId="0" applyFont="1" applyFill="1" applyBorder="1" applyAlignment="1">
      <alignment horizontal="left"/>
    </xf>
    <xf numFmtId="0" fontId="3" fillId="7" borderId="36" xfId="0" applyFont="1" applyFill="1" applyBorder="1" applyAlignment="1">
      <alignment horizontal="left"/>
    </xf>
    <xf numFmtId="0" fontId="5" fillId="5" borderId="21" xfId="0" applyFont="1" applyFill="1" applyBorder="1" applyAlignment="1">
      <alignment horizontal="left" wrapText="1"/>
    </xf>
    <xf numFmtId="0" fontId="5" fillId="8" borderId="46" xfId="0" applyFont="1" applyFill="1" applyBorder="1" applyAlignment="1">
      <alignment horizontal="left"/>
    </xf>
    <xf numFmtId="0" fontId="5" fillId="8" borderId="47" xfId="0" applyFont="1" applyFill="1" applyBorder="1" applyAlignment="1">
      <alignment horizontal="left"/>
    </xf>
    <xf numFmtId="0" fontId="5" fillId="8" borderId="48" xfId="0" applyFont="1" applyFill="1" applyBorder="1" applyAlignment="1">
      <alignment horizontal="left"/>
    </xf>
    <xf numFmtId="0" fontId="5" fillId="8" borderId="49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16" borderId="21" xfId="0" applyFont="1" applyFill="1" applyBorder="1"/>
    <xf numFmtId="0" fontId="5" fillId="16" borderId="23" xfId="0" applyFont="1" applyFill="1" applyBorder="1"/>
    <xf numFmtId="0" fontId="5" fillId="16" borderId="22" xfId="0" applyFont="1" applyFill="1" applyBorder="1"/>
    <xf numFmtId="0" fontId="5" fillId="16" borderId="11" xfId="0" applyFont="1" applyFill="1" applyBorder="1"/>
    <xf numFmtId="0" fontId="5" fillId="12" borderId="24" xfId="0" applyFont="1" applyFill="1" applyBorder="1"/>
    <xf numFmtId="0" fontId="5" fillId="12" borderId="54" xfId="0" applyFont="1" applyFill="1" applyBorder="1"/>
    <xf numFmtId="0" fontId="5" fillId="17" borderId="0" xfId="0" applyFont="1" applyFill="1"/>
    <xf numFmtId="0" fontId="5" fillId="13" borderId="24" xfId="0" applyFont="1" applyFill="1" applyBorder="1"/>
    <xf numFmtId="0" fontId="5" fillId="13" borderId="54" xfId="0" applyFont="1" applyFill="1" applyBorder="1"/>
    <xf numFmtId="0" fontId="5" fillId="13" borderId="23" xfId="0" applyFont="1" applyFill="1" applyBorder="1"/>
    <xf numFmtId="0" fontId="5" fillId="13" borderId="0" xfId="0" applyFont="1" applyFill="1"/>
    <xf numFmtId="0" fontId="5" fillId="14" borderId="24" xfId="0" applyFont="1" applyFill="1" applyBorder="1"/>
    <xf numFmtId="0" fontId="5" fillId="14" borderId="54" xfId="0" applyFont="1" applyFill="1" applyBorder="1"/>
    <xf numFmtId="0" fontId="5" fillId="14" borderId="0" xfId="0" applyFont="1" applyFill="1"/>
    <xf numFmtId="0" fontId="5" fillId="2" borderId="43" xfId="0" applyFont="1" applyFill="1" applyBorder="1"/>
    <xf numFmtId="0" fontId="5" fillId="3" borderId="61" xfId="0" applyFont="1" applyFill="1" applyBorder="1"/>
    <xf numFmtId="0" fontId="5" fillId="3" borderId="62" xfId="0" applyFont="1" applyFill="1" applyBorder="1"/>
    <xf numFmtId="0" fontId="5" fillId="3" borderId="50" xfId="0" applyFont="1" applyFill="1" applyBorder="1"/>
    <xf numFmtId="0" fontId="5" fillId="0" borderId="63" xfId="0" applyFont="1" applyBorder="1"/>
    <xf numFmtId="0" fontId="5" fillId="0" borderId="25" xfId="0" applyFont="1" applyBorder="1"/>
    <xf numFmtId="0" fontId="3" fillId="7" borderId="22" xfId="0" applyFont="1" applyFill="1" applyBorder="1"/>
    <xf numFmtId="0" fontId="4" fillId="0" borderId="3" xfId="0" applyFont="1" applyBorder="1"/>
    <xf numFmtId="0" fontId="4" fillId="0" borderId="8" xfId="0" applyFont="1" applyBorder="1" applyAlignment="1">
      <alignment wrapText="1"/>
    </xf>
    <xf numFmtId="0" fontId="4" fillId="0" borderId="67" xfId="0" applyFont="1" applyBorder="1"/>
    <xf numFmtId="0" fontId="4" fillId="0" borderId="12" xfId="0" applyFont="1" applyBorder="1"/>
    <xf numFmtId="0" fontId="4" fillId="0" borderId="14" xfId="0" applyFont="1" applyBorder="1" applyAlignment="1">
      <alignment wrapText="1"/>
    </xf>
    <xf numFmtId="0" fontId="4" fillId="0" borderId="14" xfId="0" applyFont="1" applyBorder="1"/>
    <xf numFmtId="0" fontId="4" fillId="0" borderId="54" xfId="0" applyFont="1" applyBorder="1"/>
    <xf numFmtId="0" fontId="4" fillId="0" borderId="24" xfId="0" applyFont="1" applyBorder="1"/>
    <xf numFmtId="0" fontId="4" fillId="0" borderId="41" xfId="0" applyFont="1" applyBorder="1"/>
    <xf numFmtId="0" fontId="4" fillId="0" borderId="68" xfId="0" applyFont="1" applyBorder="1"/>
    <xf numFmtId="0" fontId="4" fillId="9" borderId="41" xfId="0" applyFont="1" applyFill="1" applyBorder="1"/>
    <xf numFmtId="0" fontId="4" fillId="10" borderId="41" xfId="0" applyFont="1" applyFill="1" applyBorder="1"/>
    <xf numFmtId="0" fontId="4" fillId="11" borderId="70" xfId="0" applyFont="1" applyFill="1" applyBorder="1"/>
    <xf numFmtId="0" fontId="3" fillId="15" borderId="0" xfId="0" applyFont="1" applyFill="1" applyAlignment="1">
      <alignment wrapText="1"/>
    </xf>
    <xf numFmtId="0" fontId="5" fillId="0" borderId="21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6" borderId="40" xfId="0" applyFont="1" applyFill="1" applyBorder="1" applyAlignment="1">
      <alignment horizontal="left" wrapText="1"/>
    </xf>
    <xf numFmtId="0" fontId="5" fillId="0" borderId="52" xfId="0" applyFont="1" applyBorder="1" applyAlignment="1">
      <alignment horizontal="left"/>
    </xf>
    <xf numFmtId="0" fontId="5" fillId="5" borderId="23" xfId="0" applyFont="1" applyFill="1" applyBorder="1" applyAlignment="1">
      <alignment horizontal="left" wrapText="1"/>
    </xf>
    <xf numFmtId="0" fontId="5" fillId="0" borderId="53" xfId="0" applyFont="1" applyBorder="1" applyAlignment="1">
      <alignment horizontal="left" wrapText="1"/>
    </xf>
    <xf numFmtId="0" fontId="5" fillId="5" borderId="35" xfId="0" applyFont="1" applyFill="1" applyBorder="1" applyAlignment="1">
      <alignment horizontal="left" wrapText="1"/>
    </xf>
    <xf numFmtId="0" fontId="5" fillId="5" borderId="36" xfId="0" applyFont="1" applyFill="1" applyBorder="1" applyAlignment="1">
      <alignment horizontal="left" wrapText="1"/>
    </xf>
    <xf numFmtId="0" fontId="5" fillId="5" borderId="22" xfId="0" applyFont="1" applyFill="1" applyBorder="1" applyAlignment="1">
      <alignment horizontal="left" wrapText="1"/>
    </xf>
    <xf numFmtId="0" fontId="5" fillId="0" borderId="22" xfId="0" applyFont="1" applyBorder="1" applyAlignment="1">
      <alignment horizontal="left" wrapText="1"/>
    </xf>
    <xf numFmtId="0" fontId="5" fillId="5" borderId="37" xfId="0" applyFont="1" applyFill="1" applyBorder="1" applyAlignment="1">
      <alignment horizontal="left" wrapText="1"/>
    </xf>
    <xf numFmtId="0" fontId="5" fillId="4" borderId="16" xfId="0" applyFont="1" applyFill="1" applyBorder="1" applyAlignment="1">
      <alignment horizontal="left"/>
    </xf>
    <xf numFmtId="0" fontId="5" fillId="0" borderId="16" xfId="0" applyFont="1" applyBorder="1" applyAlignment="1">
      <alignment horizontal="left" wrapText="1"/>
    </xf>
    <xf numFmtId="0" fontId="5" fillId="4" borderId="17" xfId="0" applyFont="1" applyFill="1" applyBorder="1" applyAlignment="1">
      <alignment horizontal="left"/>
    </xf>
    <xf numFmtId="0" fontId="5" fillId="0" borderId="57" xfId="0" applyFont="1" applyBorder="1" applyAlignment="1">
      <alignment horizontal="left" wrapText="1"/>
    </xf>
    <xf numFmtId="0" fontId="3" fillId="7" borderId="20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left"/>
    </xf>
    <xf numFmtId="0" fontId="5" fillId="8" borderId="64" xfId="0" applyFont="1" applyFill="1" applyBorder="1" applyAlignment="1">
      <alignment horizontal="left"/>
    </xf>
    <xf numFmtId="0" fontId="5" fillId="8" borderId="65" xfId="0" applyFont="1" applyFill="1" applyBorder="1" applyAlignment="1">
      <alignment horizontal="left"/>
    </xf>
    <xf numFmtId="0" fontId="5" fillId="8" borderId="66" xfId="0" applyFont="1" applyFill="1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4" borderId="73" xfId="0" applyFont="1" applyFill="1" applyBorder="1"/>
    <xf numFmtId="0" fontId="5" fillId="0" borderId="2" xfId="0" applyFont="1" applyBorder="1" applyAlignment="1">
      <alignment wrapText="1"/>
    </xf>
    <xf numFmtId="0" fontId="5" fillId="0" borderId="74" xfId="0" applyFont="1" applyBorder="1" applyAlignment="1">
      <alignment wrapText="1"/>
    </xf>
    <xf numFmtId="0" fontId="5" fillId="4" borderId="2" xfId="0" applyFont="1" applyFill="1" applyBorder="1"/>
    <xf numFmtId="0" fontId="5" fillId="5" borderId="2" xfId="0" applyFont="1" applyFill="1" applyBorder="1" applyAlignment="1">
      <alignment horizontal="left" wrapText="1"/>
    </xf>
    <xf numFmtId="0" fontId="5" fillId="4" borderId="7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left" wrapText="1"/>
    </xf>
    <xf numFmtId="0" fontId="5" fillId="0" borderId="74" xfId="0" applyFont="1" applyBorder="1" applyAlignment="1">
      <alignment horizontal="left" wrapText="1"/>
    </xf>
    <xf numFmtId="0" fontId="5" fillId="18" borderId="40" xfId="0" applyFont="1" applyFill="1" applyBorder="1" applyAlignment="1">
      <alignment horizontal="left" wrapText="1"/>
    </xf>
    <xf numFmtId="0" fontId="5" fillId="18" borderId="8" xfId="0" applyFont="1" applyFill="1" applyBorder="1" applyAlignment="1">
      <alignment horizontal="left" wrapText="1"/>
    </xf>
    <xf numFmtId="0" fontId="4" fillId="15" borderId="0" xfId="0" applyFont="1" applyFill="1" applyAlignment="1">
      <alignment wrapText="1"/>
    </xf>
    <xf numFmtId="0" fontId="10" fillId="24" borderId="75" xfId="0" applyFont="1" applyFill="1" applyBorder="1" applyAlignment="1">
      <alignment horizontal="center"/>
    </xf>
    <xf numFmtId="0" fontId="0" fillId="0" borderId="75" xfId="0" applyBorder="1"/>
    <xf numFmtId="0" fontId="9" fillId="23" borderId="75" xfId="0" applyFont="1" applyFill="1" applyBorder="1"/>
    <xf numFmtId="0" fontId="8" fillId="23" borderId="75" xfId="0" applyFont="1" applyFill="1" applyBorder="1"/>
    <xf numFmtId="3" fontId="7" fillId="0" borderId="75" xfId="0" applyNumberFormat="1" applyFont="1" applyBorder="1"/>
    <xf numFmtId="0" fontId="7" fillId="0" borderId="75" xfId="0" applyFont="1" applyBorder="1"/>
    <xf numFmtId="3" fontId="0" fillId="0" borderId="75" xfId="0" applyNumberFormat="1" applyBorder="1"/>
    <xf numFmtId="0" fontId="8" fillId="0" borderId="75" xfId="0" applyFont="1" applyBorder="1"/>
    <xf numFmtId="10" fontId="0" fillId="0" borderId="75" xfId="0" applyNumberFormat="1" applyBorder="1"/>
    <xf numFmtId="10" fontId="8" fillId="0" borderId="75" xfId="0" applyNumberFormat="1" applyFont="1" applyBorder="1"/>
    <xf numFmtId="0" fontId="8" fillId="25" borderId="75" xfId="0" applyFont="1" applyFill="1" applyBorder="1"/>
    <xf numFmtId="10" fontId="8" fillId="25" borderId="75" xfId="0" applyNumberFormat="1" applyFont="1" applyFill="1" applyBorder="1"/>
    <xf numFmtId="0" fontId="10" fillId="24" borderId="75" xfId="0" applyFont="1" applyFill="1" applyBorder="1"/>
    <xf numFmtId="0" fontId="13" fillId="24" borderId="75" xfId="0" applyFont="1" applyFill="1" applyBorder="1"/>
    <xf numFmtId="0" fontId="12" fillId="24" borderId="75" xfId="0" applyFont="1" applyFill="1" applyBorder="1"/>
    <xf numFmtId="0" fontId="0" fillId="0" borderId="84" xfId="0" applyBorder="1"/>
    <xf numFmtId="0" fontId="15" fillId="27" borderId="87" xfId="2" applyBorder="1"/>
    <xf numFmtId="3" fontId="7" fillId="0" borderId="84" xfId="0" applyNumberFormat="1" applyFont="1" applyBorder="1" applyAlignment="1">
      <alignment horizontal="center"/>
    </xf>
    <xf numFmtId="0" fontId="7" fillId="0" borderId="84" xfId="0" applyFont="1" applyBorder="1" applyAlignment="1">
      <alignment horizontal="center"/>
    </xf>
    <xf numFmtId="10" fontId="0" fillId="0" borderId="84" xfId="0" applyNumberFormat="1" applyBorder="1" applyAlignment="1">
      <alignment horizontal="center"/>
    </xf>
    <xf numFmtId="10" fontId="8" fillId="0" borderId="85" xfId="0" applyNumberFormat="1" applyFont="1" applyBorder="1" applyAlignment="1">
      <alignment horizontal="center"/>
    </xf>
    <xf numFmtId="3" fontId="7" fillId="0" borderId="75" xfId="0" applyNumberFormat="1" applyFon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10" fontId="0" fillId="0" borderId="75" xfId="1" applyNumberFormat="1" applyFont="1" applyBorder="1" applyAlignment="1">
      <alignment horizontal="center"/>
    </xf>
    <xf numFmtId="10" fontId="8" fillId="0" borderId="86" xfId="0" applyNumberFormat="1" applyFont="1" applyBorder="1" applyAlignment="1">
      <alignment horizontal="center"/>
    </xf>
    <xf numFmtId="0" fontId="15" fillId="27" borderId="87" xfId="2" applyNumberFormat="1" applyBorder="1" applyAlignment="1">
      <alignment horizontal="center"/>
    </xf>
    <xf numFmtId="10" fontId="15" fillId="27" borderId="87" xfId="2" applyNumberFormat="1" applyBorder="1" applyAlignment="1">
      <alignment horizontal="center"/>
    </xf>
    <xf numFmtId="10" fontId="15" fillId="27" borderId="88" xfId="2" applyNumberFormat="1" applyBorder="1" applyAlignment="1">
      <alignment horizontal="center"/>
    </xf>
    <xf numFmtId="10" fontId="0" fillId="0" borderId="75" xfId="0" applyNumberFormat="1" applyBorder="1" applyAlignment="1">
      <alignment horizontal="center"/>
    </xf>
    <xf numFmtId="10" fontId="16" fillId="27" borderId="87" xfId="2" applyNumberFormat="1" applyFont="1" applyBorder="1" applyAlignment="1">
      <alignment horizontal="center"/>
    </xf>
    <xf numFmtId="10" fontId="8" fillId="0" borderId="89" xfId="0" applyNumberFormat="1" applyFont="1" applyBorder="1" applyAlignment="1">
      <alignment horizontal="center"/>
    </xf>
    <xf numFmtId="0" fontId="10" fillId="24" borderId="90" xfId="0" applyFont="1" applyFill="1" applyBorder="1" applyAlignment="1">
      <alignment horizontal="center" vertical="center"/>
    </xf>
    <xf numFmtId="0" fontId="10" fillId="24" borderId="91" xfId="0" applyFont="1" applyFill="1" applyBorder="1" applyAlignment="1">
      <alignment horizontal="center" vertical="center"/>
    </xf>
    <xf numFmtId="0" fontId="13" fillId="24" borderId="91" xfId="0" applyFont="1" applyFill="1" applyBorder="1" applyAlignment="1">
      <alignment horizontal="center" vertical="center" wrapText="1"/>
    </xf>
    <xf numFmtId="0" fontId="13" fillId="24" borderId="56" xfId="0" applyFont="1" applyFill="1" applyBorder="1" applyAlignment="1">
      <alignment horizontal="center" vertical="center" wrapText="1"/>
    </xf>
    <xf numFmtId="0" fontId="10" fillId="24" borderId="75" xfId="0" applyFont="1" applyFill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6" fillId="29" borderId="75" xfId="4" applyFont="1" applyBorder="1"/>
    <xf numFmtId="3" fontId="17" fillId="0" borderId="75" xfId="0" applyNumberFormat="1" applyFont="1" applyBorder="1"/>
    <xf numFmtId="3" fontId="17" fillId="0" borderId="0" xfId="0" applyNumberFormat="1" applyFont="1"/>
    <xf numFmtId="0" fontId="10" fillId="22" borderId="75" xfId="0" applyFont="1" applyFill="1" applyBorder="1" applyAlignment="1">
      <alignment vertical="center"/>
    </xf>
    <xf numFmtId="0" fontId="10" fillId="21" borderId="75" xfId="0" applyFont="1" applyFill="1" applyBorder="1" applyAlignment="1">
      <alignment vertical="center"/>
    </xf>
    <xf numFmtId="10" fontId="0" fillId="0" borderId="0" xfId="0" applyNumberFormat="1" applyAlignment="1">
      <alignment horizontal="center"/>
    </xf>
    <xf numFmtId="0" fontId="10" fillId="19" borderId="75" xfId="0" applyFont="1" applyFill="1" applyBorder="1" applyAlignment="1">
      <alignment vertical="center"/>
    </xf>
    <xf numFmtId="0" fontId="10" fillId="32" borderId="75" xfId="7" applyFont="1" applyBorder="1"/>
    <xf numFmtId="0" fontId="10" fillId="31" borderId="75" xfId="6" applyFont="1" applyBorder="1"/>
    <xf numFmtId="0" fontId="23" fillId="29" borderId="75" xfId="4" applyFont="1" applyBorder="1"/>
    <xf numFmtId="0" fontId="8" fillId="0" borderId="0" xfId="0" applyFont="1"/>
    <xf numFmtId="0" fontId="4" fillId="16" borderId="75" xfId="0" applyFont="1" applyFill="1" applyBorder="1"/>
    <xf numFmtId="0" fontId="4" fillId="12" borderId="75" xfId="0" applyFont="1" applyFill="1" applyBorder="1"/>
    <xf numFmtId="0" fontId="4" fillId="17" borderId="75" xfId="0" applyFont="1" applyFill="1" applyBorder="1"/>
    <xf numFmtId="0" fontId="4" fillId="13" borderId="75" xfId="0" applyFont="1" applyFill="1" applyBorder="1"/>
    <xf numFmtId="0" fontId="4" fillId="14" borderId="75" xfId="0" applyFont="1" applyFill="1" applyBorder="1"/>
    <xf numFmtId="0" fontId="4" fillId="2" borderId="75" xfId="0" applyFont="1" applyFill="1" applyBorder="1"/>
    <xf numFmtId="0" fontId="4" fillId="3" borderId="75" xfId="0" applyFont="1" applyFill="1" applyBorder="1"/>
    <xf numFmtId="0" fontId="20" fillId="29" borderId="75" xfId="4" applyFont="1" applyBorder="1"/>
    <xf numFmtId="0" fontId="10" fillId="24" borderId="79" xfId="0" applyFont="1" applyFill="1" applyBorder="1" applyAlignment="1">
      <alignment vertical="center"/>
    </xf>
    <xf numFmtId="2" fontId="0" fillId="0" borderId="76" xfId="0" applyNumberFormat="1" applyBorder="1"/>
    <xf numFmtId="0" fontId="10" fillId="19" borderId="93" xfId="0" applyFont="1" applyFill="1" applyBorder="1" applyAlignment="1">
      <alignment vertical="center"/>
    </xf>
    <xf numFmtId="0" fontId="10" fillId="21" borderId="92" xfId="0" applyFont="1" applyFill="1" applyBorder="1" applyAlignment="1">
      <alignment vertical="center"/>
    </xf>
    <xf numFmtId="0" fontId="10" fillId="24" borderId="75" xfId="0" applyFont="1" applyFill="1" applyBorder="1" applyAlignment="1">
      <alignment vertical="center"/>
    </xf>
    <xf numFmtId="2" fontId="0" fillId="0" borderId="75" xfId="0" applyNumberFormat="1" applyBorder="1"/>
    <xf numFmtId="0" fontId="0" fillId="0" borderId="9" xfId="0" applyBorder="1"/>
    <xf numFmtId="0" fontId="25" fillId="34" borderId="92" xfId="0" applyFont="1" applyFill="1" applyBorder="1" applyAlignment="1">
      <alignment horizontal="center" vertical="center"/>
    </xf>
    <xf numFmtId="0" fontId="25" fillId="34" borderId="79" xfId="0" applyFont="1" applyFill="1" applyBorder="1" applyAlignment="1">
      <alignment horizontal="center" vertical="center"/>
    </xf>
    <xf numFmtId="0" fontId="25" fillId="34" borderId="16" xfId="0" applyFont="1" applyFill="1" applyBorder="1" applyAlignment="1">
      <alignment horizontal="center" vertical="center"/>
    </xf>
    <xf numFmtId="0" fontId="26" fillId="35" borderId="80" xfId="0" applyFont="1" applyFill="1" applyBorder="1"/>
    <xf numFmtId="0" fontId="26" fillId="35" borderId="0" xfId="0" applyFont="1" applyFill="1"/>
    <xf numFmtId="0" fontId="27" fillId="35" borderId="0" xfId="0" applyFont="1" applyFill="1" applyAlignment="1">
      <alignment horizontal="center" vertical="center"/>
    </xf>
    <xf numFmtId="0" fontId="28" fillId="35" borderId="35" xfId="0" applyFont="1" applyFill="1" applyBorder="1" applyAlignment="1">
      <alignment horizontal="center" vertical="center"/>
    </xf>
    <xf numFmtId="0" fontId="26" fillId="35" borderId="81" xfId="0" applyFont="1" applyFill="1" applyBorder="1"/>
    <xf numFmtId="0" fontId="26" fillId="35" borderId="54" xfId="0" applyFont="1" applyFill="1" applyBorder="1"/>
    <xf numFmtId="0" fontId="27" fillId="35" borderId="54" xfId="0" applyFont="1" applyFill="1" applyBorder="1" applyAlignment="1">
      <alignment horizontal="center" vertical="center"/>
    </xf>
    <xf numFmtId="0" fontId="28" fillId="35" borderId="38" xfId="0" applyFont="1" applyFill="1" applyBorder="1" applyAlignment="1">
      <alignment horizontal="center" vertical="center"/>
    </xf>
    <xf numFmtId="0" fontId="26" fillId="0" borderId="79" xfId="0" applyFont="1" applyBorder="1"/>
    <xf numFmtId="0" fontId="26" fillId="0" borderId="92" xfId="0" applyFont="1" applyBorder="1"/>
    <xf numFmtId="0" fontId="27" fillId="0" borderId="92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6" fillId="0" borderId="81" xfId="0" applyFont="1" applyBorder="1"/>
    <xf numFmtId="0" fontId="26" fillId="0" borderId="54" xfId="0" applyFont="1" applyBorder="1"/>
    <xf numFmtId="0" fontId="27" fillId="0" borderId="54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9" fillId="0" borderId="76" xfId="0" applyFont="1" applyBorder="1"/>
    <xf numFmtId="0" fontId="29" fillId="0" borderId="79" xfId="0" applyFont="1" applyBorder="1"/>
    <xf numFmtId="0" fontId="26" fillId="35" borderId="79" xfId="0" applyFont="1" applyFill="1" applyBorder="1"/>
    <xf numFmtId="0" fontId="26" fillId="35" borderId="92" xfId="0" applyFont="1" applyFill="1" applyBorder="1"/>
    <xf numFmtId="0" fontId="27" fillId="35" borderId="92" xfId="0" applyFont="1" applyFill="1" applyBorder="1" applyAlignment="1">
      <alignment horizontal="center" vertical="center"/>
    </xf>
    <xf numFmtId="0" fontId="28" fillId="35" borderId="16" xfId="0" applyFont="1" applyFill="1" applyBorder="1" applyAlignment="1">
      <alignment horizontal="center" vertical="center"/>
    </xf>
    <xf numFmtId="0" fontId="10" fillId="24" borderId="16" xfId="0" applyFont="1" applyFill="1" applyBorder="1" applyAlignment="1">
      <alignment vertical="center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6" fillId="0" borderId="80" xfId="0" applyFont="1" applyBorder="1"/>
    <xf numFmtId="0" fontId="28" fillId="0" borderId="35" xfId="0" applyFont="1" applyBorder="1" applyAlignment="1">
      <alignment horizontal="center" vertical="center"/>
    </xf>
    <xf numFmtId="0" fontId="28" fillId="35" borderId="75" xfId="0" applyFont="1" applyFill="1" applyBorder="1" applyAlignment="1">
      <alignment horizontal="right" vertical="center"/>
    </xf>
    <xf numFmtId="0" fontId="30" fillId="36" borderId="75" xfId="0" applyFont="1" applyFill="1" applyBorder="1" applyAlignment="1">
      <alignment vertical="center"/>
    </xf>
    <xf numFmtId="10" fontId="24" fillId="0" borderId="75" xfId="0" applyNumberFormat="1" applyFont="1" applyBorder="1"/>
    <xf numFmtId="0" fontId="8" fillId="24" borderId="0" xfId="0" applyFont="1" applyFill="1" applyAlignment="1">
      <alignment vertical="center"/>
    </xf>
    <xf numFmtId="0" fontId="8" fillId="24" borderId="0" xfId="0" applyFont="1" applyFill="1" applyAlignment="1">
      <alignment horizontal="center" vertical="center"/>
    </xf>
    <xf numFmtId="0" fontId="0" fillId="38" borderId="0" xfId="0" applyFill="1"/>
    <xf numFmtId="0" fontId="0" fillId="0" borderId="0" xfId="0" applyAlignment="1">
      <alignment horizontal="center" vertical="center"/>
    </xf>
    <xf numFmtId="0" fontId="7" fillId="0" borderId="2" xfId="0" applyFont="1" applyBorder="1"/>
    <xf numFmtId="0" fontId="7" fillId="0" borderId="16" xfId="0" applyFont="1" applyBorder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31" fillId="0" borderId="0" xfId="0" applyNumberFormat="1" applyFont="1"/>
    <xf numFmtId="3" fontId="7" fillId="39" borderId="75" xfId="0" applyNumberFormat="1" applyFont="1" applyFill="1" applyBorder="1"/>
    <xf numFmtId="3" fontId="17" fillId="39" borderId="75" xfId="0" applyNumberFormat="1" applyFont="1" applyFill="1" applyBorder="1"/>
    <xf numFmtId="0" fontId="8" fillId="24" borderId="95" xfId="0" applyFont="1" applyFill="1" applyBorder="1" applyAlignment="1">
      <alignment horizontal="center" vertical="center"/>
    </xf>
    <xf numFmtId="0" fontId="8" fillId="24" borderId="89" xfId="0" applyFont="1" applyFill="1" applyBorder="1" applyAlignment="1">
      <alignment horizontal="center" vertical="center"/>
    </xf>
    <xf numFmtId="0" fontId="0" fillId="37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0" fontId="32" fillId="40" borderId="85" xfId="1" applyNumberFormat="1" applyFont="1" applyFill="1" applyBorder="1" applyAlignment="1">
      <alignment horizontal="center" vertical="center"/>
    </xf>
    <xf numFmtId="0" fontId="0" fillId="37" borderId="95" xfId="0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0" fontId="32" fillId="40" borderId="89" xfId="1" applyNumberFormat="1" applyFont="1" applyFill="1" applyBorder="1" applyAlignment="1">
      <alignment horizontal="center" vertical="center"/>
    </xf>
    <xf numFmtId="0" fontId="0" fillId="20" borderId="84" xfId="0" applyFill="1" applyBorder="1" applyAlignment="1">
      <alignment horizontal="center" vertical="center"/>
    </xf>
    <xf numFmtId="0" fontId="0" fillId="20" borderId="95" xfId="0" applyFill="1" applyBorder="1" applyAlignment="1">
      <alignment horizontal="center" vertical="center"/>
    </xf>
    <xf numFmtId="0" fontId="0" fillId="22" borderId="84" xfId="0" applyFill="1" applyBorder="1" applyAlignment="1">
      <alignment horizontal="center" vertical="center"/>
    </xf>
    <xf numFmtId="0" fontId="0" fillId="22" borderId="95" xfId="0" applyFill="1" applyBorder="1" applyAlignment="1">
      <alignment horizontal="center" vertical="center"/>
    </xf>
    <xf numFmtId="0" fontId="0" fillId="23" borderId="84" xfId="0" applyFill="1" applyBorder="1" applyAlignment="1">
      <alignment horizontal="center" vertical="center"/>
    </xf>
    <xf numFmtId="10" fontId="9" fillId="23" borderId="85" xfId="1" applyNumberFormat="1" applyFont="1" applyFill="1" applyBorder="1" applyAlignment="1">
      <alignment horizontal="center" vertical="center"/>
    </xf>
    <xf numFmtId="0" fontId="0" fillId="23" borderId="95" xfId="0" applyFill="1" applyBorder="1" applyAlignment="1">
      <alignment horizontal="center" vertical="center"/>
    </xf>
    <xf numFmtId="10" fontId="9" fillId="23" borderId="89" xfId="0" applyNumberFormat="1" applyFont="1" applyFill="1" applyBorder="1" applyAlignment="1">
      <alignment horizontal="center" vertical="center"/>
    </xf>
    <xf numFmtId="0" fontId="0" fillId="41" borderId="84" xfId="0" applyFill="1" applyBorder="1" applyAlignment="1">
      <alignment horizontal="center" vertical="center"/>
    </xf>
    <xf numFmtId="10" fontId="33" fillId="41" borderId="85" xfId="1" applyNumberFormat="1" applyFont="1" applyFill="1" applyBorder="1" applyAlignment="1">
      <alignment horizontal="center" vertical="center"/>
    </xf>
    <xf numFmtId="0" fontId="0" fillId="41" borderId="95" xfId="0" applyFill="1" applyBorder="1" applyAlignment="1">
      <alignment horizontal="center" vertical="center"/>
    </xf>
    <xf numFmtId="10" fontId="9" fillId="41" borderId="89" xfId="0" applyNumberFormat="1" applyFont="1" applyFill="1" applyBorder="1" applyAlignment="1">
      <alignment horizontal="center" vertical="center"/>
    </xf>
    <xf numFmtId="0" fontId="8" fillId="42" borderId="76" xfId="0" applyFont="1" applyFill="1" applyBorder="1"/>
    <xf numFmtId="0" fontId="0" fillId="43" borderId="76" xfId="0" applyFill="1" applyBorder="1"/>
    <xf numFmtId="0" fontId="0" fillId="43" borderId="73" xfId="0" applyFill="1" applyBorder="1" applyAlignment="1">
      <alignment horizontal="center" vertical="center"/>
    </xf>
    <xf numFmtId="0" fontId="0" fillId="43" borderId="86" xfId="0" applyFill="1" applyBorder="1" applyAlignment="1">
      <alignment horizontal="center" vertical="center"/>
    </xf>
    <xf numFmtId="0" fontId="0" fillId="26" borderId="76" xfId="0" applyFill="1" applyBorder="1"/>
    <xf numFmtId="0" fontId="0" fillId="0" borderId="73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44" borderId="76" xfId="0" applyFill="1" applyBorder="1"/>
    <xf numFmtId="0" fontId="0" fillId="44" borderId="73" xfId="0" applyFill="1" applyBorder="1" applyAlignment="1">
      <alignment horizontal="center" vertical="center"/>
    </xf>
    <xf numFmtId="0" fontId="0" fillId="44" borderId="86" xfId="0" applyFill="1" applyBorder="1" applyAlignment="1">
      <alignment horizontal="center" vertical="center"/>
    </xf>
    <xf numFmtId="0" fontId="0" fillId="44" borderId="94" xfId="0" applyFill="1" applyBorder="1" applyAlignment="1">
      <alignment horizontal="center" vertical="center"/>
    </xf>
    <xf numFmtId="0" fontId="0" fillId="44" borderId="89" xfId="0" applyFill="1" applyBorder="1" applyAlignment="1">
      <alignment horizontal="center" vertical="center"/>
    </xf>
    <xf numFmtId="0" fontId="0" fillId="0" borderId="77" xfId="0" applyBorder="1"/>
    <xf numFmtId="10" fontId="0" fillId="0" borderId="85" xfId="0" applyNumberFormat="1" applyBorder="1" applyAlignment="1">
      <alignment horizontal="center"/>
    </xf>
    <xf numFmtId="10" fontId="0" fillId="38" borderId="89" xfId="0" applyNumberFormat="1" applyFill="1" applyBorder="1" applyAlignment="1">
      <alignment horizontal="center"/>
    </xf>
    <xf numFmtId="10" fontId="0" fillId="0" borderId="86" xfId="0" applyNumberFormat="1" applyBorder="1" applyAlignment="1">
      <alignment horizontal="center"/>
    </xf>
    <xf numFmtId="10" fontId="0" fillId="38" borderId="96" xfId="0" applyNumberFormat="1" applyFill="1" applyBorder="1" applyAlignment="1">
      <alignment horizontal="center"/>
    </xf>
    <xf numFmtId="10" fontId="0" fillId="0" borderId="97" xfId="0" applyNumberFormat="1" applyBorder="1" applyAlignment="1">
      <alignment horizontal="center"/>
    </xf>
    <xf numFmtId="0" fontId="0" fillId="38" borderId="93" xfId="0" applyFill="1" applyBorder="1"/>
    <xf numFmtId="0" fontId="15" fillId="38" borderId="93" xfId="2" applyFill="1" applyBorder="1"/>
    <xf numFmtId="0" fontId="15" fillId="38" borderId="95" xfId="2" applyFill="1" applyBorder="1"/>
    <xf numFmtId="0" fontId="0" fillId="38" borderId="95" xfId="0" applyFill="1" applyBorder="1"/>
    <xf numFmtId="0" fontId="10" fillId="24" borderId="55" xfId="0" applyFont="1" applyFill="1" applyBorder="1" applyAlignment="1">
      <alignment horizontal="center" vertical="center"/>
    </xf>
    <xf numFmtId="0" fontId="8" fillId="45" borderId="76" xfId="0" applyFont="1" applyFill="1" applyBorder="1"/>
    <xf numFmtId="0" fontId="0" fillId="0" borderId="0" xfId="0" applyAlignment="1">
      <alignment horizontal="center"/>
    </xf>
    <xf numFmtId="0" fontId="10" fillId="24" borderId="30" xfId="0" applyFont="1" applyFill="1" applyBorder="1" applyAlignment="1">
      <alignment vertical="center"/>
    </xf>
    <xf numFmtId="0" fontId="10" fillId="24" borderId="90" xfId="0" applyFont="1" applyFill="1" applyBorder="1" applyAlignment="1">
      <alignment vertical="center"/>
    </xf>
    <xf numFmtId="0" fontId="8" fillId="24" borderId="75" xfId="0" applyFont="1" applyFill="1" applyBorder="1" applyAlignment="1">
      <alignment horizontal="center" vertical="center"/>
    </xf>
    <xf numFmtId="0" fontId="8" fillId="24" borderId="75" xfId="0" applyFont="1" applyFill="1" applyBorder="1" applyAlignment="1">
      <alignment vertical="center"/>
    </xf>
    <xf numFmtId="0" fontId="0" fillId="38" borderId="75" xfId="0" applyFill="1" applyBorder="1"/>
    <xf numFmtId="0" fontId="0" fillId="0" borderId="75" xfId="0" applyBorder="1" applyAlignment="1">
      <alignment horizontal="center" vertical="center"/>
    </xf>
    <xf numFmtId="0" fontId="30" fillId="0" borderId="75" xfId="0" applyFont="1" applyBorder="1" applyAlignment="1">
      <alignment horizontal="left" vertical="center" wrapText="1" indent="1"/>
    </xf>
    <xf numFmtId="0" fontId="35" fillId="0" borderId="75" xfId="0" applyFont="1" applyBorder="1" applyAlignment="1">
      <alignment horizontal="left" vertical="center" wrapText="1" indent="1"/>
    </xf>
    <xf numFmtId="3" fontId="35" fillId="0" borderId="75" xfId="0" applyNumberFormat="1" applyFont="1" applyBorder="1" applyAlignment="1">
      <alignment horizontal="left" vertical="center" wrapText="1" indent="1"/>
    </xf>
    <xf numFmtId="3" fontId="30" fillId="0" borderId="75" xfId="0" applyNumberFormat="1" applyFont="1" applyBorder="1" applyAlignment="1">
      <alignment horizontal="left" vertical="center" wrapText="1" indent="1"/>
    </xf>
    <xf numFmtId="0" fontId="30" fillId="24" borderId="75" xfId="0" applyFont="1" applyFill="1" applyBorder="1" applyAlignment="1">
      <alignment horizontal="left" vertical="center" wrapText="1" indent="1"/>
    </xf>
    <xf numFmtId="0" fontId="30" fillId="24" borderId="0" xfId="0" applyFont="1" applyFill="1" applyAlignment="1">
      <alignment horizontal="left" vertical="center" wrapText="1" indent="1"/>
    </xf>
    <xf numFmtId="3" fontId="36" fillId="0" borderId="75" xfId="0" applyNumberFormat="1" applyFont="1" applyBorder="1" applyAlignment="1">
      <alignment horizontal="left" vertical="center" wrapText="1" indent="1"/>
    </xf>
    <xf numFmtId="0" fontId="36" fillId="0" borderId="75" xfId="0" applyFont="1" applyBorder="1" applyAlignment="1">
      <alignment horizontal="left" vertical="center" wrapText="1" indent="1"/>
    </xf>
    <xf numFmtId="3" fontId="37" fillId="0" borderId="75" xfId="0" applyNumberFormat="1" applyFont="1" applyBorder="1" applyAlignment="1">
      <alignment horizontal="left" vertical="center" wrapText="1" indent="1"/>
    </xf>
    <xf numFmtId="0" fontId="39" fillId="49" borderId="100" xfId="0" applyFont="1" applyFill="1" applyBorder="1" applyAlignment="1">
      <alignment horizontal="center" vertical="center" wrapText="1" readingOrder="1"/>
    </xf>
    <xf numFmtId="0" fontId="39" fillId="49" borderId="101" xfId="0" applyFont="1" applyFill="1" applyBorder="1" applyAlignment="1">
      <alignment horizontal="center" vertical="center" wrapText="1" readingOrder="1"/>
    </xf>
    <xf numFmtId="0" fontId="41" fillId="50" borderId="101" xfId="0" applyFont="1" applyFill="1" applyBorder="1" applyAlignment="1">
      <alignment horizontal="left" vertical="center" wrapText="1" indent="1" readingOrder="1"/>
    </xf>
    <xf numFmtId="0" fontId="42" fillId="50" borderId="101" xfId="0" applyFont="1" applyFill="1" applyBorder="1" applyAlignment="1">
      <alignment horizontal="center" vertical="center" wrapText="1" readingOrder="1"/>
    </xf>
    <xf numFmtId="9" fontId="43" fillId="50" borderId="101" xfId="0" applyNumberFormat="1" applyFont="1" applyFill="1" applyBorder="1" applyAlignment="1">
      <alignment horizontal="center" vertical="center" wrapText="1" readingOrder="1"/>
    </xf>
    <xf numFmtId="0" fontId="41" fillId="0" borderId="101" xfId="0" applyFont="1" applyBorder="1" applyAlignment="1">
      <alignment horizontal="left" vertical="center" wrapText="1" indent="1" readingOrder="1"/>
    </xf>
    <xf numFmtId="0" fontId="42" fillId="0" borderId="101" xfId="0" applyFont="1" applyBorder="1" applyAlignment="1">
      <alignment horizontal="center" vertical="center" wrapText="1" readingOrder="1"/>
    </xf>
    <xf numFmtId="9" fontId="44" fillId="0" borderId="101" xfId="0" applyNumberFormat="1" applyFont="1" applyBorder="1" applyAlignment="1">
      <alignment horizontal="center" vertical="center" wrapText="1" readingOrder="1"/>
    </xf>
    <xf numFmtId="10" fontId="43" fillId="50" borderId="101" xfId="0" applyNumberFormat="1" applyFont="1" applyFill="1" applyBorder="1" applyAlignment="1">
      <alignment horizontal="center" vertical="center" wrapText="1" readingOrder="1"/>
    </xf>
    <xf numFmtId="9" fontId="43" fillId="0" borderId="101" xfId="0" applyNumberFormat="1" applyFont="1" applyBorder="1" applyAlignment="1">
      <alignment horizontal="center" vertical="center" wrapText="1" readingOrder="1"/>
    </xf>
    <xf numFmtId="9" fontId="44" fillId="50" borderId="101" xfId="0" applyNumberFormat="1" applyFont="1" applyFill="1" applyBorder="1" applyAlignment="1">
      <alignment horizontal="center" vertical="center" wrapText="1" readingOrder="1"/>
    </xf>
    <xf numFmtId="10" fontId="45" fillId="0" borderId="101" xfId="0" applyNumberFormat="1" applyFont="1" applyBorder="1" applyAlignment="1">
      <alignment horizontal="center" vertical="center" wrapText="1" readingOrder="1"/>
    </xf>
    <xf numFmtId="0" fontId="46" fillId="49" borderId="75" xfId="0" applyFont="1" applyFill="1" applyBorder="1" applyAlignment="1">
      <alignment horizontal="center" vertical="center" wrapText="1" readingOrder="1"/>
    </xf>
    <xf numFmtId="0" fontId="48" fillId="50" borderId="75" xfId="0" applyFont="1" applyFill="1" applyBorder="1" applyAlignment="1">
      <alignment horizontal="left" vertical="center" wrapText="1" indent="1" readingOrder="1"/>
    </xf>
    <xf numFmtId="0" fontId="49" fillId="50" borderId="75" xfId="0" applyFont="1" applyFill="1" applyBorder="1" applyAlignment="1">
      <alignment horizontal="center" vertical="center" wrapText="1" readingOrder="1"/>
    </xf>
    <xf numFmtId="0" fontId="48" fillId="0" borderId="75" xfId="0" applyFont="1" applyBorder="1" applyAlignment="1">
      <alignment horizontal="left" vertical="center" wrapText="1" indent="1" readingOrder="1"/>
    </xf>
    <xf numFmtId="0" fontId="49" fillId="0" borderId="75" xfId="0" applyFont="1" applyBorder="1" applyAlignment="1">
      <alignment horizontal="center" vertical="center" wrapText="1" readingOrder="1"/>
    </xf>
    <xf numFmtId="3" fontId="49" fillId="0" borderId="75" xfId="0" applyNumberFormat="1" applyFont="1" applyBorder="1" applyAlignment="1">
      <alignment horizontal="center" vertical="center" wrapText="1" readingOrder="1"/>
    </xf>
    <xf numFmtId="0" fontId="47" fillId="50" borderId="76" xfId="0" applyFont="1" applyFill="1" applyBorder="1" applyAlignment="1">
      <alignment vertical="center" wrapText="1" readingOrder="1"/>
    </xf>
    <xf numFmtId="0" fontId="46" fillId="49" borderId="93" xfId="0" applyFont="1" applyFill="1" applyBorder="1" applyAlignment="1">
      <alignment vertical="center" wrapText="1" readingOrder="1"/>
    </xf>
    <xf numFmtId="0" fontId="47" fillId="50" borderId="93" xfId="0" applyFont="1" applyFill="1" applyBorder="1" applyAlignment="1">
      <alignment horizontal="center" vertical="center" wrapText="1" readingOrder="1"/>
    </xf>
    <xf numFmtId="0" fontId="47" fillId="50" borderId="77" xfId="0" applyFont="1" applyFill="1" applyBorder="1" applyAlignment="1">
      <alignment horizontal="center" vertical="center" wrapText="1" readingOrder="1"/>
    </xf>
    <xf numFmtId="0" fontId="14" fillId="48" borderId="0" xfId="11"/>
    <xf numFmtId="0" fontId="14" fillId="48" borderId="0" xfId="11" applyAlignment="1">
      <alignment horizontal="center"/>
    </xf>
    <xf numFmtId="0" fontId="0" fillId="47" borderId="99" xfId="10" applyFont="1"/>
    <xf numFmtId="0" fontId="50" fillId="51" borderId="0" xfId="0" applyFont="1" applyFill="1" applyAlignment="1">
      <alignment horizontal="left" vertical="center" wrapText="1" readingOrder="1"/>
    </xf>
    <xf numFmtId="0" fontId="50" fillId="51" borderId="0" xfId="0" applyFont="1" applyFill="1" applyAlignment="1">
      <alignment horizontal="right" vertical="center" wrapText="1" readingOrder="1"/>
    </xf>
    <xf numFmtId="0" fontId="50" fillId="52" borderId="0" xfId="0" applyFont="1" applyFill="1" applyAlignment="1">
      <alignment horizontal="left" vertical="center" wrapText="1" readingOrder="1"/>
    </xf>
    <xf numFmtId="3" fontId="50" fillId="52" borderId="0" xfId="0" applyNumberFormat="1" applyFont="1" applyFill="1" applyAlignment="1">
      <alignment horizontal="right" vertical="center" wrapText="1" readingOrder="1"/>
    </xf>
    <xf numFmtId="0" fontId="50" fillId="52" borderId="0" xfId="0" applyFont="1" applyFill="1" applyAlignment="1">
      <alignment horizontal="right" vertical="center" wrapText="1" readingOrder="1"/>
    </xf>
    <xf numFmtId="3" fontId="49" fillId="50" borderId="75" xfId="0" applyNumberFormat="1" applyFont="1" applyFill="1" applyBorder="1" applyAlignment="1">
      <alignment horizontal="center" vertical="center" wrapText="1" readingOrder="1"/>
    </xf>
    <xf numFmtId="0" fontId="46" fillId="49" borderId="106" xfId="0" applyFont="1" applyFill="1" applyBorder="1" applyAlignment="1">
      <alignment horizontal="center" vertical="center" wrapText="1" readingOrder="1"/>
    </xf>
    <xf numFmtId="0" fontId="46" fillId="49" borderId="107" xfId="0" applyFont="1" applyFill="1" applyBorder="1" applyAlignment="1">
      <alignment horizontal="center" vertical="center" wrapText="1" readingOrder="1"/>
    </xf>
    <xf numFmtId="0" fontId="47" fillId="50" borderId="108" xfId="0" applyFont="1" applyFill="1" applyBorder="1" applyAlignment="1">
      <alignment horizontal="left" vertical="center" wrapText="1" readingOrder="1"/>
    </xf>
    <xf numFmtId="3" fontId="49" fillId="50" borderId="101" xfId="0" applyNumberFormat="1" applyFont="1" applyFill="1" applyBorder="1" applyAlignment="1">
      <alignment horizontal="center" vertical="center" wrapText="1" readingOrder="1"/>
    </xf>
    <xf numFmtId="0" fontId="47" fillId="0" borderId="105" xfId="0" applyFont="1" applyBorder="1" applyAlignment="1">
      <alignment horizontal="left" vertical="center" wrapText="1" readingOrder="1"/>
    </xf>
    <xf numFmtId="3" fontId="49" fillId="0" borderId="101" xfId="0" applyNumberFormat="1" applyFont="1" applyBorder="1" applyAlignment="1">
      <alignment horizontal="center" vertical="center" wrapText="1" readingOrder="1"/>
    </xf>
    <xf numFmtId="0" fontId="47" fillId="50" borderId="109" xfId="0" applyFont="1" applyFill="1" applyBorder="1" applyAlignment="1">
      <alignment horizontal="left" vertical="center" wrapText="1" readingOrder="1"/>
    </xf>
    <xf numFmtId="0" fontId="47" fillId="50" borderId="93" xfId="0" applyFont="1" applyFill="1" applyBorder="1" applyAlignment="1">
      <alignment horizontal="center" vertical="center" wrapText="1" readingOrder="1"/>
    </xf>
    <xf numFmtId="0" fontId="47" fillId="50" borderId="77" xfId="0" applyFont="1" applyFill="1" applyBorder="1" applyAlignment="1">
      <alignment horizontal="center" vertical="center" wrapText="1" readingOrder="1"/>
    </xf>
    <xf numFmtId="0" fontId="46" fillId="49" borderId="75" xfId="0" applyFont="1" applyFill="1" applyBorder="1" applyAlignment="1">
      <alignment horizontal="center" vertical="center" wrapText="1" readingOrder="1"/>
    </xf>
    <xf numFmtId="0" fontId="47" fillId="50" borderId="75" xfId="0" applyFont="1" applyFill="1" applyBorder="1" applyAlignment="1">
      <alignment horizontal="center" vertical="center" wrapText="1" readingOrder="1"/>
    </xf>
    <xf numFmtId="0" fontId="47" fillId="0" borderId="75" xfId="0" applyFont="1" applyBorder="1" applyAlignment="1">
      <alignment horizontal="center" vertical="center" wrapText="1" readingOrder="1"/>
    </xf>
    <xf numFmtId="0" fontId="48" fillId="0" borderId="80" xfId="0" applyFont="1" applyBorder="1" applyAlignment="1">
      <alignment horizontal="center" vertical="center" wrapText="1" readingOrder="1"/>
    </xf>
    <xf numFmtId="0" fontId="48" fillId="0" borderId="0" xfId="0" applyFont="1" applyAlignment="1">
      <alignment horizontal="center" vertical="center" wrapText="1" readingOrder="1"/>
    </xf>
    <xf numFmtId="0" fontId="48" fillId="0" borderId="35" xfId="0" applyFont="1" applyBorder="1" applyAlignment="1">
      <alignment horizontal="center" vertical="center" wrapText="1" readingOrder="1"/>
    </xf>
    <xf numFmtId="0" fontId="10" fillId="21" borderId="79" xfId="0" applyFont="1" applyFill="1" applyBorder="1" applyAlignment="1">
      <alignment horizontal="center" vertical="center"/>
    </xf>
    <xf numFmtId="0" fontId="10" fillId="21" borderId="16" xfId="0" applyFont="1" applyFill="1" applyBorder="1" applyAlignment="1">
      <alignment horizontal="center" vertical="center"/>
    </xf>
    <xf numFmtId="0" fontId="46" fillId="49" borderId="93" xfId="0" applyFont="1" applyFill="1" applyBorder="1" applyAlignment="1">
      <alignment horizontal="center" vertical="center" wrapText="1" readingOrder="1"/>
    </xf>
    <xf numFmtId="0" fontId="46" fillId="49" borderId="77" xfId="0" applyFont="1" applyFill="1" applyBorder="1" applyAlignment="1">
      <alignment horizontal="center" vertical="center" wrapText="1" readingOrder="1"/>
    </xf>
    <xf numFmtId="0" fontId="10" fillId="26" borderId="79" xfId="0" applyFont="1" applyFill="1" applyBorder="1" applyAlignment="1">
      <alignment horizontal="center" vertical="center"/>
    </xf>
    <xf numFmtId="0" fontId="10" fillId="26" borderId="16" xfId="0" applyFont="1" applyFill="1" applyBorder="1" applyAlignment="1">
      <alignment horizontal="center" vertical="center"/>
    </xf>
    <xf numFmtId="0" fontId="10" fillId="26" borderId="80" xfId="0" applyFont="1" applyFill="1" applyBorder="1" applyAlignment="1">
      <alignment horizontal="center" vertical="center"/>
    </xf>
    <xf numFmtId="0" fontId="10" fillId="26" borderId="35" xfId="0" applyFont="1" applyFill="1" applyBorder="1" applyAlignment="1">
      <alignment horizontal="center" vertical="center"/>
    </xf>
    <xf numFmtId="0" fontId="10" fillId="26" borderId="81" xfId="0" applyFont="1" applyFill="1" applyBorder="1" applyAlignment="1">
      <alignment horizontal="center" vertical="center"/>
    </xf>
    <xf numFmtId="0" fontId="10" fillId="26" borderId="38" xfId="0" applyFont="1" applyFill="1" applyBorder="1" applyAlignment="1">
      <alignment horizontal="center" vertical="center"/>
    </xf>
    <xf numFmtId="0" fontId="10" fillId="21" borderId="80" xfId="0" applyFont="1" applyFill="1" applyBorder="1" applyAlignment="1">
      <alignment horizontal="center" vertical="center"/>
    </xf>
    <xf numFmtId="0" fontId="10" fillId="21" borderId="35" xfId="0" applyFont="1" applyFill="1" applyBorder="1" applyAlignment="1">
      <alignment horizontal="center" vertical="center"/>
    </xf>
    <xf numFmtId="0" fontId="10" fillId="21" borderId="81" xfId="0" applyFont="1" applyFill="1" applyBorder="1" applyAlignment="1">
      <alignment horizontal="center" vertical="center"/>
    </xf>
    <xf numFmtId="0" fontId="10" fillId="21" borderId="38" xfId="0" applyFont="1" applyFill="1" applyBorder="1" applyAlignment="1">
      <alignment horizontal="center" vertical="center"/>
    </xf>
    <xf numFmtId="0" fontId="10" fillId="24" borderId="81" xfId="0" applyFont="1" applyFill="1" applyBorder="1" applyAlignment="1">
      <alignment horizontal="center" vertical="center"/>
    </xf>
    <xf numFmtId="0" fontId="10" fillId="24" borderId="54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75" xfId="0" applyFont="1" applyFill="1" applyBorder="1" applyAlignment="1">
      <alignment horizontal="center" vertical="center"/>
    </xf>
    <xf numFmtId="0" fontId="10" fillId="24" borderId="76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24" borderId="2" xfId="0" applyFont="1" applyFill="1" applyBorder="1" applyAlignment="1">
      <alignment horizontal="center"/>
    </xf>
    <xf numFmtId="0" fontId="10" fillId="24" borderId="79" xfId="0" applyFont="1" applyFill="1" applyBorder="1" applyAlignment="1">
      <alignment horizontal="center" vertical="center"/>
    </xf>
    <xf numFmtId="0" fontId="10" fillId="24" borderId="16" xfId="0" applyFont="1" applyFill="1" applyBorder="1" applyAlignment="1">
      <alignment horizontal="center" vertical="center"/>
    </xf>
    <xf numFmtId="0" fontId="10" fillId="24" borderId="75" xfId="0" applyFont="1" applyFill="1" applyBorder="1" applyAlignment="1">
      <alignment horizontal="center"/>
    </xf>
    <xf numFmtId="10" fontId="0" fillId="0" borderId="75" xfId="0" applyNumberForma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2" borderId="32" xfId="0" applyFont="1" applyFill="1" applyBorder="1" applyAlignment="1">
      <alignment horizontal="center"/>
    </xf>
    <xf numFmtId="0" fontId="5" fillId="14" borderId="31" xfId="0" applyFont="1" applyFill="1" applyBorder="1" applyAlignment="1">
      <alignment horizontal="center"/>
    </xf>
    <xf numFmtId="0" fontId="5" fillId="14" borderId="32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5" fillId="15" borderId="31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10" fontId="4" fillId="9" borderId="4" xfId="0" applyNumberFormat="1" applyFont="1" applyFill="1" applyBorder="1"/>
    <xf numFmtId="0" fontId="4" fillId="9" borderId="11" xfId="0" applyFont="1" applyFill="1" applyBorder="1"/>
    <xf numFmtId="10" fontId="4" fillId="9" borderId="9" xfId="0" applyNumberFormat="1" applyFont="1" applyFill="1" applyBorder="1"/>
    <xf numFmtId="0" fontId="4" fillId="9" borderId="9" xfId="0" applyFont="1" applyFill="1" applyBorder="1"/>
    <xf numFmtId="0" fontId="4" fillId="0" borderId="59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0" xfId="0" applyFont="1"/>
    <xf numFmtId="0" fontId="4" fillId="0" borderId="22" xfId="0" applyFont="1" applyBorder="1"/>
    <xf numFmtId="10" fontId="4" fillId="10" borderId="9" xfId="0" applyNumberFormat="1" applyFont="1" applyFill="1" applyBorder="1"/>
    <xf numFmtId="0" fontId="4" fillId="10" borderId="11" xfId="0" applyFont="1" applyFill="1" applyBorder="1"/>
    <xf numFmtId="10" fontId="4" fillId="11" borderId="5" xfId="0" applyNumberFormat="1" applyFont="1" applyFill="1" applyBorder="1"/>
    <xf numFmtId="0" fontId="4" fillId="11" borderId="51" xfId="0" applyFont="1" applyFill="1" applyBorder="1"/>
    <xf numFmtId="10" fontId="4" fillId="11" borderId="10" xfId="0" applyNumberFormat="1" applyFont="1" applyFill="1" applyBorder="1"/>
    <xf numFmtId="0" fontId="4" fillId="11" borderId="10" xfId="0" applyFont="1" applyFill="1" applyBorder="1"/>
    <xf numFmtId="10" fontId="4" fillId="10" borderId="4" xfId="0" applyNumberFormat="1" applyFont="1" applyFill="1" applyBorder="1"/>
    <xf numFmtId="0" fontId="4" fillId="10" borderId="9" xfId="0" applyFont="1" applyFill="1" applyBorder="1"/>
    <xf numFmtId="10" fontId="4" fillId="11" borderId="29" xfId="0" applyNumberFormat="1" applyFont="1" applyFill="1" applyBorder="1"/>
    <xf numFmtId="0" fontId="4" fillId="11" borderId="72" xfId="0" applyFont="1" applyFill="1" applyBorder="1"/>
    <xf numFmtId="0" fontId="4" fillId="11" borderId="13" xfId="0" applyFont="1" applyFill="1" applyBorder="1"/>
    <xf numFmtId="0" fontId="4" fillId="11" borderId="29" xfId="0" applyFont="1" applyFill="1" applyBorder="1"/>
    <xf numFmtId="0" fontId="4" fillId="11" borderId="71" xfId="0" applyFont="1" applyFill="1" applyBorder="1"/>
    <xf numFmtId="0" fontId="4" fillId="10" borderId="69" xfId="0" applyFont="1" applyFill="1" applyBorder="1"/>
    <xf numFmtId="0" fontId="4" fillId="9" borderId="69" xfId="0" applyFont="1" applyFill="1" applyBorder="1"/>
    <xf numFmtId="0" fontId="8" fillId="37" borderId="75" xfId="0" applyFont="1" applyFill="1" applyBorder="1" applyAlignment="1">
      <alignment horizontal="center" vertical="center"/>
    </xf>
    <xf numFmtId="0" fontId="8" fillId="20" borderId="75" xfId="0" applyFont="1" applyFill="1" applyBorder="1" applyAlignment="1">
      <alignment horizontal="center" vertical="center"/>
    </xf>
    <xf numFmtId="0" fontId="8" fillId="22" borderId="75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8" fillId="37" borderId="94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0" borderId="94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8" fillId="22" borderId="94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8" fillId="41" borderId="94" xfId="0" applyFont="1" applyFill="1" applyBorder="1" applyAlignment="1">
      <alignment horizontal="center" vertical="center"/>
    </xf>
    <xf numFmtId="0" fontId="8" fillId="24" borderId="75" xfId="0" applyFont="1" applyFill="1" applyBorder="1" applyAlignment="1">
      <alignment horizontal="center" vertical="center"/>
    </xf>
    <xf numFmtId="0" fontId="8" fillId="45" borderId="1" xfId="0" applyFont="1" applyFill="1" applyBorder="1" applyAlignment="1">
      <alignment horizontal="center"/>
    </xf>
    <xf numFmtId="0" fontId="8" fillId="45" borderId="85" xfId="0" applyFont="1" applyFill="1" applyBorder="1" applyAlignment="1">
      <alignment horizontal="center"/>
    </xf>
    <xf numFmtId="0" fontId="8" fillId="23" borderId="1" xfId="0" applyFont="1" applyFill="1" applyBorder="1" applyAlignment="1">
      <alignment horizontal="center" vertical="center"/>
    </xf>
    <xf numFmtId="0" fontId="8" fillId="23" borderId="94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4" borderId="84" xfId="0" applyFont="1" applyFill="1" applyBorder="1" applyAlignment="1">
      <alignment horizontal="center" vertical="center"/>
    </xf>
    <xf numFmtId="0" fontId="8" fillId="24" borderId="94" xfId="0" applyFont="1" applyFill="1" applyBorder="1" applyAlignment="1">
      <alignment horizontal="center" vertical="center"/>
    </xf>
    <xf numFmtId="0" fontId="8" fillId="24" borderId="95" xfId="0" applyFont="1" applyFill="1" applyBorder="1" applyAlignment="1">
      <alignment horizontal="center" vertical="center"/>
    </xf>
    <xf numFmtId="0" fontId="8" fillId="24" borderId="85" xfId="0" applyFont="1" applyFill="1" applyBorder="1" applyAlignment="1">
      <alignment horizontal="center" vertical="center"/>
    </xf>
    <xf numFmtId="0" fontId="34" fillId="44" borderId="0" xfId="0" applyFont="1" applyFill="1" applyAlignment="1">
      <alignment horizontal="center" vertical="center"/>
    </xf>
    <xf numFmtId="0" fontId="10" fillId="24" borderId="30" xfId="0" applyFont="1" applyFill="1" applyBorder="1" applyAlignment="1">
      <alignment horizontal="center" vertical="center"/>
    </xf>
    <xf numFmtId="0" fontId="10" fillId="24" borderId="90" xfId="0" applyFont="1" applyFill="1" applyBorder="1" applyAlignment="1">
      <alignment horizontal="center" vertical="center"/>
    </xf>
    <xf numFmtId="0" fontId="10" fillId="26" borderId="83" xfId="0" applyFont="1" applyFill="1" applyBorder="1" applyAlignment="1">
      <alignment horizontal="center" vertical="center"/>
    </xf>
    <xf numFmtId="0" fontId="10" fillId="26" borderId="27" xfId="0" applyFont="1" applyFill="1" applyBorder="1" applyAlignment="1">
      <alignment horizontal="center" vertical="center"/>
    </xf>
    <xf numFmtId="0" fontId="10" fillId="26" borderId="50" xfId="0" applyFont="1" applyFill="1" applyBorder="1" applyAlignment="1">
      <alignment horizontal="center" vertical="center"/>
    </xf>
    <xf numFmtId="0" fontId="10" fillId="21" borderId="83" xfId="0" applyFont="1" applyFill="1" applyBorder="1" applyAlignment="1">
      <alignment horizontal="center" vertical="center"/>
    </xf>
    <xf numFmtId="0" fontId="10" fillId="21" borderId="27" xfId="0" applyFont="1" applyFill="1" applyBorder="1" applyAlignment="1">
      <alignment horizontal="center" vertical="center"/>
    </xf>
    <xf numFmtId="0" fontId="10" fillId="21" borderId="50" xfId="0" applyFont="1" applyFill="1" applyBorder="1" applyAlignment="1">
      <alignment horizontal="center" vertical="center"/>
    </xf>
    <xf numFmtId="0" fontId="10" fillId="22" borderId="83" xfId="0" applyFont="1" applyFill="1" applyBorder="1" applyAlignment="1">
      <alignment horizontal="center" vertical="center"/>
    </xf>
    <xf numFmtId="0" fontId="10" fillId="22" borderId="27" xfId="0" applyFont="1" applyFill="1" applyBorder="1" applyAlignment="1">
      <alignment horizontal="center" vertical="center"/>
    </xf>
    <xf numFmtId="0" fontId="10" fillId="22" borderId="50" xfId="0" applyFont="1" applyFill="1" applyBorder="1" applyAlignment="1">
      <alignment horizontal="center" vertical="center"/>
    </xf>
    <xf numFmtId="0" fontId="0" fillId="22" borderId="75" xfId="0" applyFill="1" applyBorder="1" applyAlignment="1">
      <alignment horizontal="center" vertical="center"/>
    </xf>
    <xf numFmtId="0" fontId="11" fillId="24" borderId="75" xfId="0" applyFont="1" applyFill="1" applyBorder="1" applyAlignment="1">
      <alignment horizontal="center"/>
    </xf>
    <xf numFmtId="0" fontId="12" fillId="24" borderId="2" xfId="0" applyFont="1" applyFill="1" applyBorder="1" applyAlignment="1">
      <alignment horizontal="center"/>
    </xf>
    <xf numFmtId="0" fontId="0" fillId="19" borderId="75" xfId="0" applyFill="1" applyBorder="1" applyAlignment="1">
      <alignment horizontal="center" vertical="center"/>
    </xf>
    <xf numFmtId="0" fontId="10" fillId="24" borderId="77" xfId="0" applyFont="1" applyFill="1" applyBorder="1" applyAlignment="1">
      <alignment horizontal="center"/>
    </xf>
    <xf numFmtId="0" fontId="10" fillId="24" borderId="78" xfId="0" applyFont="1" applyFill="1" applyBorder="1" applyAlignment="1">
      <alignment horizontal="center" vertical="center"/>
    </xf>
    <xf numFmtId="0" fontId="10" fillId="24" borderId="77" xfId="0" applyFont="1" applyFill="1" applyBorder="1" applyAlignment="1">
      <alignment horizontal="center" vertical="center"/>
    </xf>
    <xf numFmtId="0" fontId="12" fillId="24" borderId="75" xfId="0" applyFont="1" applyFill="1" applyBorder="1" applyAlignment="1">
      <alignment horizontal="center"/>
    </xf>
    <xf numFmtId="0" fontId="10" fillId="22" borderId="79" xfId="0" applyFont="1" applyFill="1" applyBorder="1" applyAlignment="1">
      <alignment horizontal="center" vertical="center"/>
    </xf>
    <xf numFmtId="0" fontId="10" fillId="22" borderId="16" xfId="0" applyFont="1" applyFill="1" applyBorder="1" applyAlignment="1">
      <alignment horizontal="center" vertical="center"/>
    </xf>
    <xf numFmtId="0" fontId="10" fillId="22" borderId="80" xfId="0" applyFont="1" applyFill="1" applyBorder="1" applyAlignment="1">
      <alignment horizontal="center" vertical="center"/>
    </xf>
    <xf numFmtId="0" fontId="10" fillId="22" borderId="35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0" fillId="24" borderId="38" xfId="0" applyFill="1" applyBorder="1" applyAlignment="1">
      <alignment horizontal="center" vertical="center"/>
    </xf>
    <xf numFmtId="0" fontId="0" fillId="21" borderId="75" xfId="0" applyFill="1" applyBorder="1" applyAlignment="1">
      <alignment horizontal="center" vertical="center"/>
    </xf>
    <xf numFmtId="0" fontId="0" fillId="20" borderId="75" xfId="0" applyFill="1" applyBorder="1" applyAlignment="1">
      <alignment horizontal="center" vertical="center"/>
    </xf>
    <xf numFmtId="0" fontId="11" fillId="24" borderId="75" xfId="0" applyFont="1" applyFill="1" applyBorder="1" applyAlignment="1">
      <alignment horizontal="center" vertical="center"/>
    </xf>
    <xf numFmtId="0" fontId="0" fillId="24" borderId="75" xfId="0" applyFill="1" applyBorder="1" applyAlignment="1">
      <alignment horizontal="center" vertical="center"/>
    </xf>
    <xf numFmtId="0" fontId="10" fillId="22" borderId="75" xfId="0" applyFont="1" applyFill="1" applyBorder="1" applyAlignment="1">
      <alignment horizontal="center" vertical="center"/>
    </xf>
    <xf numFmtId="0" fontId="10" fillId="19" borderId="93" xfId="0" applyFont="1" applyFill="1" applyBorder="1" applyAlignment="1">
      <alignment horizontal="center" vertical="center"/>
    </xf>
    <xf numFmtId="0" fontId="10" fillId="19" borderId="78" xfId="0" applyFont="1" applyFill="1" applyBorder="1" applyAlignment="1">
      <alignment horizontal="center" vertical="center"/>
    </xf>
    <xf numFmtId="0" fontId="10" fillId="19" borderId="77" xfId="0" applyFont="1" applyFill="1" applyBorder="1" applyAlignment="1">
      <alignment horizontal="center" vertical="center"/>
    </xf>
    <xf numFmtId="0" fontId="21" fillId="33" borderId="75" xfId="8" applyFont="1" applyBorder="1" applyAlignment="1">
      <alignment horizontal="center"/>
    </xf>
    <xf numFmtId="0" fontId="10" fillId="21" borderId="92" xfId="0" applyFont="1" applyFill="1" applyBorder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0" fillId="21" borderId="75" xfId="0" applyFont="1" applyFill="1" applyBorder="1" applyAlignment="1">
      <alignment horizontal="center" vertical="center"/>
    </xf>
    <xf numFmtId="0" fontId="10" fillId="26" borderId="75" xfId="0" applyFont="1" applyFill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22" fillId="28" borderId="75" xfId="3" applyFont="1" applyBorder="1" applyAlignment="1">
      <alignment horizontal="center"/>
    </xf>
    <xf numFmtId="0" fontId="10" fillId="30" borderId="75" xfId="5" applyFont="1" applyBorder="1" applyAlignment="1">
      <alignment horizontal="center"/>
    </xf>
    <xf numFmtId="0" fontId="10" fillId="32" borderId="75" xfId="7" applyFont="1" applyBorder="1" applyAlignment="1">
      <alignment horizontal="center"/>
    </xf>
    <xf numFmtId="0" fontId="8" fillId="0" borderId="7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22" borderId="81" xfId="0" applyFont="1" applyFill="1" applyBorder="1" applyAlignment="1">
      <alignment horizontal="center" vertical="center"/>
    </xf>
    <xf numFmtId="0" fontId="10" fillId="22" borderId="38" xfId="0" applyFont="1" applyFill="1" applyBorder="1" applyAlignment="1">
      <alignment horizontal="center" vertical="center"/>
    </xf>
    <xf numFmtId="0" fontId="30" fillId="36" borderId="77" xfId="0" applyFont="1" applyFill="1" applyBorder="1" applyAlignment="1">
      <alignment horizontal="center" vertical="center"/>
    </xf>
    <xf numFmtId="0" fontId="30" fillId="36" borderId="75" xfId="0" applyFont="1" applyFill="1" applyBorder="1" applyAlignment="1">
      <alignment horizontal="center" vertical="center"/>
    </xf>
    <xf numFmtId="0" fontId="30" fillId="36" borderId="81" xfId="0" applyFont="1" applyFill="1" applyBorder="1" applyAlignment="1">
      <alignment horizontal="center" vertical="center"/>
    </xf>
    <xf numFmtId="0" fontId="30" fillId="36" borderId="54" xfId="0" applyFont="1" applyFill="1" applyBorder="1" applyAlignment="1">
      <alignment horizontal="center" vertical="center"/>
    </xf>
    <xf numFmtId="0" fontId="30" fillId="36" borderId="38" xfId="0" applyFont="1" applyFill="1" applyBorder="1" applyAlignment="1">
      <alignment horizontal="center" vertical="center"/>
    </xf>
    <xf numFmtId="0" fontId="11" fillId="24" borderId="76" xfId="0" applyFont="1" applyFill="1" applyBorder="1" applyAlignment="1">
      <alignment horizontal="center"/>
    </xf>
    <xf numFmtId="0" fontId="11" fillId="24" borderId="9" xfId="0" applyFont="1" applyFill="1" applyBorder="1" applyAlignment="1">
      <alignment horizontal="center"/>
    </xf>
    <xf numFmtId="0" fontId="11" fillId="24" borderId="2" xfId="0" applyFont="1" applyFill="1" applyBorder="1" applyAlignment="1">
      <alignment horizontal="center"/>
    </xf>
    <xf numFmtId="0" fontId="0" fillId="37" borderId="0" xfId="0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0" fillId="19" borderId="76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21" fillId="33" borderId="79" xfId="8" applyFont="1" applyBorder="1" applyAlignment="1">
      <alignment horizontal="center"/>
    </xf>
    <xf numFmtId="0" fontId="21" fillId="33" borderId="92" xfId="8" applyFont="1" applyBorder="1" applyAlignment="1">
      <alignment horizontal="center"/>
    </xf>
    <xf numFmtId="0" fontId="21" fillId="33" borderId="16" xfId="8" applyFont="1" applyBorder="1" applyAlignment="1">
      <alignment horizontal="center"/>
    </xf>
    <xf numFmtId="0" fontId="21" fillId="33" borderId="81" xfId="8" applyFont="1" applyBorder="1" applyAlignment="1">
      <alignment horizontal="center"/>
    </xf>
    <xf numFmtId="0" fontId="21" fillId="33" borderId="54" xfId="8" applyFont="1" applyBorder="1" applyAlignment="1">
      <alignment horizontal="center"/>
    </xf>
    <xf numFmtId="0" fontId="21" fillId="33" borderId="38" xfId="8" applyFont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8" fillId="24" borderId="0" xfId="0" applyFont="1" applyFill="1" applyAlignment="1">
      <alignment horizontal="center"/>
    </xf>
    <xf numFmtId="0" fontId="8" fillId="42" borderId="1" xfId="0" applyFont="1" applyFill="1" applyBorder="1" applyAlignment="1">
      <alignment horizontal="center"/>
    </xf>
    <xf numFmtId="0" fontId="8" fillId="42" borderId="85" xfId="0" applyFont="1" applyFill="1" applyBorder="1" applyAlignment="1">
      <alignment horizontal="center"/>
    </xf>
    <xf numFmtId="164" fontId="0" fillId="0" borderId="75" xfId="0" applyNumberFormat="1" applyBorder="1" applyAlignment="1">
      <alignment horizontal="center"/>
    </xf>
    <xf numFmtId="0" fontId="0" fillId="0" borderId="75" xfId="0" applyBorder="1" applyAlignment="1">
      <alignment horizontal="center"/>
    </xf>
    <xf numFmtId="3" fontId="0" fillId="0" borderId="75" xfId="0" applyNumberFormat="1" applyBorder="1" applyAlignment="1">
      <alignment horizontal="center"/>
    </xf>
    <xf numFmtId="0" fontId="38" fillId="46" borderId="98" xfId="9" applyAlignment="1">
      <alignment horizontal="center" vertical="center"/>
    </xf>
    <xf numFmtId="0" fontId="40" fillId="50" borderId="102" xfId="0" applyFont="1" applyFill="1" applyBorder="1" applyAlignment="1">
      <alignment horizontal="left" vertical="center" wrapText="1" indent="1" readingOrder="1"/>
    </xf>
    <xf numFmtId="0" fontId="40" fillId="50" borderId="103" xfId="0" applyFont="1" applyFill="1" applyBorder="1" applyAlignment="1">
      <alignment horizontal="left" vertical="center" wrapText="1" indent="1" readingOrder="1"/>
    </xf>
    <xf numFmtId="0" fontId="40" fillId="50" borderId="104" xfId="0" applyFont="1" applyFill="1" applyBorder="1" applyAlignment="1">
      <alignment horizontal="left" vertical="center" wrapText="1" indent="1" readingOrder="1"/>
    </xf>
    <xf numFmtId="0" fontId="40" fillId="0" borderId="102" xfId="0" applyFont="1" applyBorder="1" applyAlignment="1">
      <alignment horizontal="left" vertical="center" wrapText="1" indent="1" readingOrder="1"/>
    </xf>
    <xf numFmtId="0" fontId="40" fillId="0" borderId="103" xfId="0" applyFont="1" applyBorder="1" applyAlignment="1">
      <alignment horizontal="left" vertical="center" wrapText="1" indent="1" readingOrder="1"/>
    </xf>
    <xf numFmtId="0" fontId="40" fillId="0" borderId="104" xfId="0" applyFont="1" applyBorder="1" applyAlignment="1">
      <alignment horizontal="left" vertical="center" wrapText="1" indent="1" readingOrder="1"/>
    </xf>
    <xf numFmtId="0" fontId="10" fillId="24" borderId="92" xfId="0" applyFont="1" applyFill="1" applyBorder="1" applyAlignment="1">
      <alignment horizontal="center" vertical="center"/>
    </xf>
    <xf numFmtId="0" fontId="10" fillId="24" borderId="16" xfId="0" applyFont="1" applyFill="1" applyBorder="1" applyAlignment="1">
      <alignment horizontal="center"/>
    </xf>
    <xf numFmtId="0" fontId="10" fillId="24" borderId="38" xfId="0" applyFont="1" applyFill="1" applyBorder="1" applyAlignment="1">
      <alignment horizontal="center"/>
    </xf>
    <xf numFmtId="10" fontId="0" fillId="0" borderId="76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51" fillId="51" borderId="0" xfId="0" applyFont="1" applyFill="1" applyAlignment="1">
      <alignment horizontal="center" vertical="center" wrapText="1"/>
    </xf>
    <xf numFmtId="0" fontId="51" fillId="51" borderId="0" xfId="0" applyFont="1" applyFill="1" applyAlignment="1">
      <alignment horizontal="right" vertical="center" wrapText="1"/>
    </xf>
    <xf numFmtId="0" fontId="52" fillId="52" borderId="0" xfId="0" applyFont="1" applyFill="1" applyAlignment="1">
      <alignment vertical="center" wrapText="1"/>
    </xf>
    <xf numFmtId="3" fontId="52" fillId="52" borderId="0" xfId="0" applyNumberFormat="1" applyFont="1" applyFill="1" applyAlignment="1">
      <alignment horizontal="right" vertical="center" wrapText="1"/>
    </xf>
    <xf numFmtId="0" fontId="52" fillId="52" borderId="0" xfId="0" applyFont="1" applyFill="1" applyAlignment="1">
      <alignment horizontal="right" vertical="center" wrapText="1"/>
    </xf>
    <xf numFmtId="10" fontId="52" fillId="52" borderId="0" xfId="0" applyNumberFormat="1" applyFont="1" applyFill="1" applyAlignment="1">
      <alignment horizontal="right" vertical="center" wrapText="1"/>
    </xf>
    <xf numFmtId="0" fontId="51" fillId="51" borderId="75" xfId="0" applyFont="1" applyFill="1" applyBorder="1" applyAlignment="1">
      <alignment horizontal="center" vertical="center" wrapText="1"/>
    </xf>
    <xf numFmtId="0" fontId="51" fillId="52" borderId="75" xfId="0" applyFont="1" applyFill="1" applyBorder="1" applyAlignment="1">
      <alignment vertical="center" wrapText="1"/>
    </xf>
    <xf numFmtId="3" fontId="52" fillId="52" borderId="75" xfId="0" applyNumberFormat="1" applyFont="1" applyFill="1" applyBorder="1" applyAlignment="1">
      <alignment horizontal="right" vertical="center" wrapText="1"/>
    </xf>
    <xf numFmtId="0" fontId="52" fillId="52" borderId="75" xfId="0" applyFont="1" applyFill="1" applyBorder="1" applyAlignment="1">
      <alignment horizontal="right" vertical="center" wrapText="1"/>
    </xf>
    <xf numFmtId="10" fontId="52" fillId="52" borderId="75" xfId="0" applyNumberFormat="1" applyFont="1" applyFill="1" applyBorder="1" applyAlignment="1">
      <alignment horizontal="right" vertical="center" wrapText="1"/>
    </xf>
    <xf numFmtId="0" fontId="52" fillId="52" borderId="75" xfId="0" applyFont="1" applyFill="1" applyBorder="1" applyAlignment="1">
      <alignment vertical="center" wrapText="1"/>
    </xf>
    <xf numFmtId="0" fontId="51" fillId="51" borderId="75" xfId="0" applyFont="1" applyFill="1" applyBorder="1" applyAlignment="1">
      <alignment horizontal="center" vertical="center" wrapText="1"/>
    </xf>
    <xf numFmtId="0" fontId="8" fillId="0" borderId="75" xfId="0" applyFont="1" applyBorder="1" applyAlignment="1">
      <alignment horizontal="center"/>
    </xf>
    <xf numFmtId="0" fontId="8" fillId="44" borderId="75" xfId="0" applyFont="1" applyFill="1" applyBorder="1" applyAlignment="1">
      <alignment horizontal="center" vertical="center"/>
    </xf>
    <xf numFmtId="4" fontId="52" fillId="52" borderId="0" xfId="0" applyNumberFormat="1" applyFont="1" applyFill="1" applyAlignment="1">
      <alignment horizontal="right" vertical="center" wrapText="1"/>
    </xf>
    <xf numFmtId="3" fontId="8" fillId="0" borderId="75" xfId="0" applyNumberFormat="1" applyFont="1" applyBorder="1"/>
    <xf numFmtId="10" fontId="53" fillId="52" borderId="0" xfId="0" applyNumberFormat="1" applyFont="1" applyFill="1" applyAlignment="1">
      <alignment horizontal="right" vertical="center" wrapText="1"/>
    </xf>
    <xf numFmtId="10" fontId="54" fillId="52" borderId="0" xfId="0" applyNumberFormat="1" applyFont="1" applyFill="1" applyAlignment="1">
      <alignment horizontal="right" vertical="center" wrapText="1"/>
    </xf>
    <xf numFmtId="0" fontId="51" fillId="40" borderId="75" xfId="0" applyFont="1" applyFill="1" applyBorder="1" applyAlignment="1">
      <alignment horizontal="center" vertical="center" wrapText="1"/>
    </xf>
    <xf numFmtId="0" fontId="0" fillId="40" borderId="0" xfId="0" applyFill="1"/>
    <xf numFmtId="9" fontId="51" fillId="40" borderId="75" xfId="0" applyNumberFormat="1" applyFont="1" applyFill="1" applyBorder="1" applyAlignment="1">
      <alignment horizontal="center" vertical="center" wrapText="1"/>
    </xf>
    <xf numFmtId="0" fontId="0" fillId="0" borderId="80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80" xfId="0" applyBorder="1" applyAlignment="1">
      <alignment horizontal="left" vertical="top"/>
    </xf>
    <xf numFmtId="3" fontId="51" fillId="40" borderId="75" xfId="0" applyNumberFormat="1" applyFont="1" applyFill="1" applyBorder="1" applyAlignment="1">
      <alignment horizontal="center" vertical="center" wrapText="1"/>
    </xf>
  </cellXfs>
  <cellStyles count="12">
    <cellStyle name="40% - Accent4" xfId="5" builtinId="43"/>
    <cellStyle name="40% - Accent6" xfId="8" builtinId="51"/>
    <cellStyle name="60% - Accent1" xfId="11" builtinId="32"/>
    <cellStyle name="60% - Accent4" xfId="6" builtinId="44"/>
    <cellStyle name="60% - Accent5" xfId="7" builtinId="48"/>
    <cellStyle name="Check Cell" xfId="9" builtinId="23"/>
    <cellStyle name="Good" xfId="3" builtinId="26"/>
    <cellStyle name="Neutral" xfId="4" builtinId="28"/>
    <cellStyle name="Normal" xfId="0" builtinId="0"/>
    <cellStyle name="Note" xfId="10" builtinId="10"/>
    <cellStyle name="Output" xfId="2" builtinId="21"/>
    <cellStyle name="Percent" xfId="1" builtinId="5"/>
  </cellStyles>
  <dxfs count="98"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C00000"/>
      </font>
    </dxf>
    <dxf>
      <font>
        <color rgb="FFC00000"/>
      </font>
    </dxf>
    <dxf>
      <font>
        <color theme="6"/>
      </font>
    </dxf>
    <dxf>
      <font>
        <color theme="6"/>
      </font>
    </dxf>
    <dxf>
      <font>
        <color rgb="FFC00000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theme="6"/>
      </font>
    </dxf>
    <dxf>
      <font>
        <color rgb="FFC00000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theme="6"/>
      </font>
    </dxf>
    <dxf>
      <font>
        <color rgb="FFC00000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FF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  <dxf>
      <font>
        <color rgb="FFC00000"/>
      </font>
    </dxf>
    <dxf>
      <font>
        <color theme="6"/>
      </font>
    </dxf>
  </dxfs>
  <tableStyles count="0" defaultTableStyle="TableStyleMedium2" defaultPivotStyle="PivotStyleLight16"/>
  <colors>
    <mruColors>
      <color rgb="FFF22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USB footprint comparison</a:t>
            </a:r>
            <a:r>
              <a:rPr lang="en-US" baseline="0"/>
              <a:t> </a:t>
            </a:r>
            <a:br>
              <a:rPr lang="en-US" baseline="0"/>
            </a:br>
            <a:r>
              <a:rPr lang="en-US" baseline="0"/>
              <a:t>ST v GD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Sirine'!$D$37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GD USB Sirine'!$A$38:$C$41</c:f>
              <c:multiLvlStrCache>
                <c:ptCount val="4"/>
                <c:lvl>
                  <c:pt idx="0">
                    <c:v>ROM</c:v>
                  </c:pt>
                  <c:pt idx="1">
                    <c:v>RAM</c:v>
                  </c:pt>
                  <c:pt idx="2">
                    <c:v>ROM</c:v>
                  </c:pt>
                  <c:pt idx="3">
                    <c:v>RAM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GD USB Sirine'!$D$38:$D$41</c:f>
              <c:numCache>
                <c:formatCode>#,##0</c:formatCode>
                <c:ptCount val="4"/>
                <c:pt idx="0">
                  <c:v>9175</c:v>
                </c:pt>
                <c:pt idx="1">
                  <c:v>9608</c:v>
                </c:pt>
                <c:pt idx="2">
                  <c:v>9085</c:v>
                </c:pt>
                <c:pt idx="3">
                  <c:v>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E-4C12-A775-7B7F64A1790D}"/>
            </c:ext>
          </c:extLst>
        </c:ser>
        <c:ser>
          <c:idx val="1"/>
          <c:order val="1"/>
          <c:tx>
            <c:strRef>
              <c:f>'ST vs GD USB Sirine'!$E$37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GD USB Sirine'!$A$38:$C$41</c:f>
              <c:multiLvlStrCache>
                <c:ptCount val="4"/>
                <c:lvl>
                  <c:pt idx="0">
                    <c:v>ROM</c:v>
                  </c:pt>
                  <c:pt idx="1">
                    <c:v>RAM</c:v>
                  </c:pt>
                  <c:pt idx="2">
                    <c:v>ROM</c:v>
                  </c:pt>
                  <c:pt idx="3">
                    <c:v>RAM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GD USB Sirine'!$E$38:$E$41</c:f>
              <c:numCache>
                <c:formatCode>#,##0</c:formatCode>
                <c:ptCount val="4"/>
                <c:pt idx="0">
                  <c:v>16269</c:v>
                </c:pt>
                <c:pt idx="1">
                  <c:v>3446</c:v>
                </c:pt>
                <c:pt idx="2">
                  <c:v>17049</c:v>
                </c:pt>
                <c:pt idx="3">
                  <c:v>4089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E-4C12-A775-7B7F64A1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333024"/>
        <c:axId val="1603330624"/>
      </c:barChart>
      <c:catAx>
        <c:axId val="16033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30624"/>
        <c:crosses val="autoZero"/>
        <c:auto val="1"/>
        <c:lblAlgn val="ctr"/>
        <c:lblOffset val="100"/>
        <c:noMultiLvlLbl val="0"/>
      </c:catAx>
      <c:valAx>
        <c:axId val="16033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 vs GD USB Sirine'!$D$43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'ST vs GD USB Sirine'!$A$44:$C$44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GD USB Sirine'!$D$44</c:f>
              <c:numCache>
                <c:formatCode>General</c:formatCode>
                <c:ptCount val="1"/>
                <c:pt idx="0">
                  <c:v>26.083680999999999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0-4F1B-86C6-4F0146B76F17}"/>
            </c:ext>
          </c:extLst>
        </c:ser>
        <c:ser>
          <c:idx val="1"/>
          <c:order val="1"/>
          <c:tx>
            <c:strRef>
              <c:f>'ST vs GD USB Sirine'!$E$43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'ST vs GD USB Sirine'!$A$44:$C$44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GD USB Sirine'!$E$44</c:f>
              <c:numCache>
                <c:formatCode>General</c:formatCode>
                <c:ptCount val="1"/>
                <c:pt idx="0">
                  <c:v>9.9901060000000008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0-4F1B-86C6-4F0146B76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3804736"/>
        <c:axId val="1253805216"/>
        <c:axId val="0"/>
      </c:bar3DChart>
      <c:catAx>
        <c:axId val="12538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805216"/>
        <c:crosses val="autoZero"/>
        <c:auto val="1"/>
        <c:lblAlgn val="ctr"/>
        <c:lblOffset val="100"/>
        <c:noMultiLvlLbl val="0"/>
      </c:catAx>
      <c:valAx>
        <c:axId val="12538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8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('ST vs GD USB Sirine'!$A$44:$C$44,'ST vs GD USB Sirine'!$A$47:$C$47)</c:f>
              <c:multiLvlStrCache>
                <c:ptCount val="2"/>
                <c:lvl>
                  <c:pt idx="0">
                    <c:v>Init </c:v>
                  </c:pt>
                  <c:pt idx="1">
                    <c:v>Init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GD USB Sirine'!$D$44,'ST vs GD USB Sirine'!$D$47)</c:f>
              <c:numCache>
                <c:formatCode>General</c:formatCode>
                <c:ptCount val="2"/>
                <c:pt idx="0">
                  <c:v>26.083680999999999</c:v>
                </c:pt>
                <c:pt idx="1">
                  <c:v>26.076238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3-47F0-86CB-0F6A648E5966}"/>
            </c:ext>
          </c:extLst>
        </c:ser>
        <c:ser>
          <c:idx val="1"/>
          <c:order val="1"/>
          <c:tx>
            <c:strRef>
              <c:f>'ST vs GD USB Sirine'!$E$43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('ST vs GD USB Sirine'!$A$44:$C$44,'ST vs GD USB Sirine'!$A$47:$C$47)</c:f>
              <c:multiLvlStrCache>
                <c:ptCount val="2"/>
                <c:lvl>
                  <c:pt idx="0">
                    <c:v>Init </c:v>
                  </c:pt>
                  <c:pt idx="1">
                    <c:v>Init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GD USB Sirine'!$E$44,'ST vs GD USB Sirine'!$E$47)</c:f>
              <c:numCache>
                <c:formatCode>General</c:formatCode>
                <c:ptCount val="2"/>
                <c:pt idx="0">
                  <c:v>9.9901060000000008</c:v>
                </c:pt>
                <c:pt idx="1">
                  <c:v>9.9936000000000007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3-47F0-86CB-0F6A648E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943456"/>
        <c:axId val="1468938176"/>
      </c:barChart>
      <c:catAx>
        <c:axId val="14689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38176"/>
        <c:crosses val="autoZero"/>
        <c:auto val="1"/>
        <c:lblAlgn val="ctr"/>
        <c:lblOffset val="100"/>
        <c:noMultiLvlLbl val="0"/>
      </c:catAx>
      <c:valAx>
        <c:axId val="14689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4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('ST vs GD USB Sirine'!$A$45:$C$45,'ST vs GD USB Sirine'!$A$48:$C$48)</c:f>
              <c:multiLvlStrCache>
                <c:ptCount val="2"/>
                <c:lvl>
                  <c:pt idx="0">
                    <c:v>Enumeration </c:v>
                  </c:pt>
                  <c:pt idx="1">
                    <c:v>Enumeration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GD USB Sirine'!$D$45,'ST vs GD USB Sirine'!$D$48)</c:f>
              <c:numCache>
                <c:formatCode>General</c:formatCode>
                <c:ptCount val="2"/>
                <c:pt idx="0">
                  <c:v>216</c:v>
                </c:pt>
                <c:pt idx="1">
                  <c:v>218.5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8-4ABA-9CB6-DA8847D80AF6}"/>
            </c:ext>
          </c:extLst>
        </c:ser>
        <c:ser>
          <c:idx val="1"/>
          <c:order val="1"/>
          <c:tx>
            <c:strRef>
              <c:f>'ST vs GD USB Sirine'!$E$43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('ST vs GD USB Sirine'!$A$45:$C$45,'ST vs GD USB Sirine'!$A$48:$C$48)</c:f>
              <c:multiLvlStrCache>
                <c:ptCount val="2"/>
                <c:lvl>
                  <c:pt idx="0">
                    <c:v>Enumeration </c:v>
                  </c:pt>
                  <c:pt idx="1">
                    <c:v>Enumeration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GD USB Sirine'!$E$45,'ST vs GD USB Sirine'!$E$48)</c:f>
              <c:numCache>
                <c:formatCode>General</c:formatCode>
                <c:ptCount val="2"/>
                <c:pt idx="0">
                  <c:v>213</c:v>
                </c:pt>
                <c:pt idx="1">
                  <c:v>218.2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8-4ABA-9CB6-DA8847D80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226976"/>
        <c:axId val="1252227456"/>
      </c:barChart>
      <c:catAx>
        <c:axId val="12522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27456"/>
        <c:crosses val="autoZero"/>
        <c:auto val="1"/>
        <c:lblAlgn val="ctr"/>
        <c:lblOffset val="100"/>
        <c:noMultiLvlLbl val="0"/>
      </c:catAx>
      <c:valAx>
        <c:axId val="12522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('ST vs GD USB Sirine'!$A$46:$C$46,'ST vs GD USB Sirine'!$A$49:$C$50)</c:f>
              <c:multiLvlStrCache>
                <c:ptCount val="3"/>
                <c:lvl>
                  <c:pt idx="0">
                    <c:v>Data transmission </c:v>
                  </c:pt>
                  <c:pt idx="1">
                    <c:v>Data transmission (input)</c:v>
                  </c:pt>
                  <c:pt idx="2">
                    <c:v>Data transmission (output)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('ST vs GD USB Sirine'!$D$46,'ST vs GD USB Sirine'!$D$49:$D$50)</c:f>
              <c:numCache>
                <c:formatCode>General</c:formatCode>
                <c:ptCount val="3"/>
                <c:pt idx="0">
                  <c:v>9.3500000000000007E-3</c:v>
                </c:pt>
                <c:pt idx="1">
                  <c:v>1.0034E-2</c:v>
                </c:pt>
                <c:pt idx="2">
                  <c:v>9.9319999999999999E-3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C-4DBF-9C9D-54BD2FED07F9}"/>
            </c:ext>
          </c:extLst>
        </c:ser>
        <c:ser>
          <c:idx val="1"/>
          <c:order val="1"/>
          <c:tx>
            <c:strRef>
              <c:f>'ST vs GD USB Sirine'!$E$43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('ST vs GD USB Sirine'!$A$46:$C$46,'ST vs GD USB Sirine'!$A$49:$C$50)</c:f>
              <c:multiLvlStrCache>
                <c:ptCount val="3"/>
                <c:lvl>
                  <c:pt idx="0">
                    <c:v>Data transmission </c:v>
                  </c:pt>
                  <c:pt idx="1">
                    <c:v>Data transmission (input)</c:v>
                  </c:pt>
                  <c:pt idx="2">
                    <c:v>Data transmission (output)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('ST vs GD USB Sirine'!$E$46,'ST vs GD USB Sirine'!$E$49:$E$50)</c:f>
              <c:numCache>
                <c:formatCode>General</c:formatCode>
                <c:ptCount val="3"/>
                <c:pt idx="0">
                  <c:v>9.2840000000000006E-3</c:v>
                </c:pt>
                <c:pt idx="1">
                  <c:v>9.8799999999999999E-3</c:v>
                </c:pt>
                <c:pt idx="2">
                  <c:v>9.8600000000000007E-3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C-4DBF-9C9D-54BD2FED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540448"/>
        <c:axId val="1670539008"/>
      </c:barChart>
      <c:catAx>
        <c:axId val="16705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39008"/>
        <c:crosses val="autoZero"/>
        <c:auto val="1"/>
        <c:lblAlgn val="ctr"/>
        <c:lblOffset val="100"/>
        <c:noMultiLvlLbl val="0"/>
      </c:catAx>
      <c:valAx>
        <c:axId val="167053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GD USB Sirine'!$C$61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GD USB Sirine'!$A$62:$B$65</c:f>
              <c:multiLvlStrCache>
                <c:ptCount val="4"/>
                <c:lvl>
                  <c:pt idx="0">
                    <c:v>HID</c:v>
                  </c:pt>
                  <c:pt idx="1">
                    <c:v>CDC</c:v>
                  </c:pt>
                  <c:pt idx="2">
                    <c:v>HID</c:v>
                  </c:pt>
                  <c:pt idx="3">
                    <c:v>CDC</c:v>
                  </c:pt>
                </c:lvl>
                <c:lvl>
                  <c:pt idx="0">
                    <c:v>STM32U575</c:v>
                  </c:pt>
                  <c:pt idx="2">
                    <c:v>GD32E507</c:v>
                  </c:pt>
                </c:lvl>
              </c:multiLvlStrCache>
            </c:multiLvlStrRef>
          </c:cat>
          <c:val>
            <c:numRef>
              <c:f>'ST vs GD USB Sirine'!$C$62:$C$65</c:f>
              <c:numCache>
                <c:formatCode>General</c:formatCode>
                <c:ptCount val="4"/>
                <c:pt idx="0">
                  <c:v>1560</c:v>
                </c:pt>
                <c:pt idx="1">
                  <c:v>1543</c:v>
                </c:pt>
                <c:pt idx="2">
                  <c:v>1498</c:v>
                </c:pt>
                <c:pt idx="3">
                  <c:v>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1-4F55-AABC-13A51EE5117E}"/>
            </c:ext>
          </c:extLst>
        </c:ser>
        <c:ser>
          <c:idx val="1"/>
          <c:order val="1"/>
          <c:tx>
            <c:strRef>
              <c:f>'ST vs GD USB Sirine'!$D$61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GD USB Sirine'!$A$62:$B$65</c:f>
              <c:multiLvlStrCache>
                <c:ptCount val="4"/>
                <c:lvl>
                  <c:pt idx="0">
                    <c:v>HID</c:v>
                  </c:pt>
                  <c:pt idx="1">
                    <c:v>CDC</c:v>
                  </c:pt>
                  <c:pt idx="2">
                    <c:v>HID</c:v>
                  </c:pt>
                  <c:pt idx="3">
                    <c:v>CDC</c:v>
                  </c:pt>
                </c:lvl>
                <c:lvl>
                  <c:pt idx="0">
                    <c:v>STM32U575</c:v>
                  </c:pt>
                  <c:pt idx="2">
                    <c:v>GD32E507</c:v>
                  </c:pt>
                </c:lvl>
              </c:multiLvlStrCache>
            </c:multiLvlStrRef>
          </c:cat>
          <c:val>
            <c:numRef>
              <c:f>'ST vs GD USB Sirine'!$D$62:$D$65</c:f>
              <c:numCache>
                <c:formatCode>General</c:formatCode>
                <c:ptCount val="4"/>
                <c:pt idx="0">
                  <c:v>10442</c:v>
                </c:pt>
                <c:pt idx="1">
                  <c:v>10442</c:v>
                </c:pt>
                <c:pt idx="2">
                  <c:v>820</c:v>
                </c:pt>
                <c:pt idx="3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1-4F55-AABC-13A51EE5117E}"/>
            </c:ext>
          </c:extLst>
        </c:ser>
        <c:ser>
          <c:idx val="2"/>
          <c:order val="2"/>
          <c:tx>
            <c:strRef>
              <c:f>'ST vs GD USB Sirine'!$E$61</c:f>
              <c:strCache>
                <c:ptCount val="1"/>
                <c:pt idx="0">
                  <c:v>MW stack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'ST vs GD USB Sirine'!$A$62:$B$65</c:f>
              <c:multiLvlStrCache>
                <c:ptCount val="4"/>
                <c:lvl>
                  <c:pt idx="0">
                    <c:v>HID</c:v>
                  </c:pt>
                  <c:pt idx="1">
                    <c:v>CDC</c:v>
                  </c:pt>
                  <c:pt idx="2">
                    <c:v>HID</c:v>
                  </c:pt>
                  <c:pt idx="3">
                    <c:v>CDC</c:v>
                  </c:pt>
                </c:lvl>
                <c:lvl>
                  <c:pt idx="0">
                    <c:v>STM32U575</c:v>
                  </c:pt>
                  <c:pt idx="2">
                    <c:v>GD32E507</c:v>
                  </c:pt>
                </c:lvl>
              </c:multiLvlStrCache>
            </c:multiLvlStrRef>
          </c:cat>
          <c:val>
            <c:numRef>
              <c:f>'ST vs GD USB Sirine'!$E$62:$E$65</c:f>
              <c:numCache>
                <c:formatCode>General</c:formatCode>
                <c:ptCount val="4"/>
                <c:pt idx="0">
                  <c:v>2870</c:v>
                </c:pt>
                <c:pt idx="1">
                  <c:v>3290</c:v>
                </c:pt>
                <c:pt idx="2">
                  <c:v>5738</c:v>
                </c:pt>
                <c:pt idx="3">
                  <c:v>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1-4F55-AABC-13A51EE51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9387840"/>
        <c:axId val="1759383520"/>
      </c:barChart>
      <c:catAx>
        <c:axId val="17593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83520"/>
        <c:crosses val="autoZero"/>
        <c:auto val="1"/>
        <c:lblAlgn val="ctr"/>
        <c:lblOffset val="100"/>
        <c:noMultiLvlLbl val="0"/>
      </c:catAx>
      <c:valAx>
        <c:axId val="17593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8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USB CDC test ROM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'ST vs GD USB Sirine'!$E$67</c:f>
              <c:strCache>
                <c:ptCount val="1"/>
                <c:pt idx="0">
                  <c:v>MW stack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'ST vs GD USB Sirine'!$A$68:$B$71</c15:sqref>
                  </c15:fullRef>
                </c:ext>
              </c:extLst>
              <c:f>'ST vs GD USB Sirine'!$A$70:$B$71</c:f>
              <c:multiLvlStrCache>
                <c:ptCount val="2"/>
                <c:lvl>
                  <c:pt idx="0">
                    <c:v>STM32U576</c:v>
                  </c:pt>
                  <c:pt idx="1">
                    <c:v>GD32E508</c:v>
                  </c:pt>
                </c:lvl>
                <c:lvl>
                  <c:pt idx="0">
                    <c:v>CDC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 vs GD USB Sirine'!$E$68:$E$71</c15:sqref>
                  </c15:fullRef>
                </c:ext>
              </c:extLst>
              <c:f>'ST vs GD USB Sirine'!$E$70:$E$71</c:f>
              <c:numCache>
                <c:formatCode>General</c:formatCode>
                <c:ptCount val="2"/>
                <c:pt idx="0" formatCode="#,##0">
                  <c:v>2423</c:v>
                </c:pt>
                <c:pt idx="1" formatCode="#,##0">
                  <c:v>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A8-4563-8BC6-49B616246128}"/>
            </c:ext>
          </c:extLst>
        </c:ser>
        <c:ser>
          <c:idx val="0"/>
          <c:order val="1"/>
          <c:tx>
            <c:strRef>
              <c:f>'ST vs GD USB Sirine'!$C$67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'ST vs GD USB Sirine'!$A$68:$B$71</c15:sqref>
                  </c15:fullRef>
                </c:ext>
              </c:extLst>
              <c:f>'ST vs GD USB Sirine'!$A$70:$B$71</c:f>
              <c:multiLvlStrCache>
                <c:ptCount val="2"/>
                <c:lvl>
                  <c:pt idx="0">
                    <c:v>STM32U576</c:v>
                  </c:pt>
                  <c:pt idx="1">
                    <c:v>GD32E508</c:v>
                  </c:pt>
                </c:lvl>
                <c:lvl>
                  <c:pt idx="0">
                    <c:v>CDC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 vs GD USB Sirine'!$C$68:$C$71</c15:sqref>
                  </c15:fullRef>
                </c:ext>
              </c:extLst>
              <c:f>'ST vs GD USB Sirine'!$C$70:$C$71</c:f>
              <c:numCache>
                <c:formatCode>General</c:formatCode>
                <c:ptCount val="2"/>
                <c:pt idx="0" formatCode="#,##0">
                  <c:v>2683</c:v>
                </c:pt>
                <c:pt idx="1" formatCode="#,##0">
                  <c:v>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8-4563-8BC6-49B616246128}"/>
            </c:ext>
          </c:extLst>
        </c:ser>
        <c:ser>
          <c:idx val="1"/>
          <c:order val="2"/>
          <c:tx>
            <c:strRef>
              <c:f>'ST vs GD USB Sirine'!$D$67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rgbClr val="F22EC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'ST vs GD USB Sirine'!$A$68:$B$71</c15:sqref>
                  </c15:fullRef>
                </c:ext>
              </c:extLst>
              <c:f>'ST vs GD USB Sirine'!$A$70:$B$71</c:f>
              <c:multiLvlStrCache>
                <c:ptCount val="2"/>
                <c:lvl>
                  <c:pt idx="0">
                    <c:v>STM32U576</c:v>
                  </c:pt>
                  <c:pt idx="1">
                    <c:v>GD32E508</c:v>
                  </c:pt>
                </c:lvl>
                <c:lvl>
                  <c:pt idx="0">
                    <c:v>CDC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 vs GD USB Sirine'!$D$68:$D$71</c15:sqref>
                  </c15:fullRef>
                </c:ext>
              </c:extLst>
              <c:f>'ST vs GD USB Sirine'!$D$70:$D$71</c:f>
              <c:numCache>
                <c:formatCode>General</c:formatCode>
                <c:ptCount val="2"/>
                <c:pt idx="0" formatCode="#,##0">
                  <c:v>10446</c:v>
                </c:pt>
                <c:pt idx="1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A8-4563-8BC6-49B616246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038112"/>
        <c:axId val="1903043872"/>
      </c:barChart>
      <c:catAx>
        <c:axId val="190303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43872"/>
        <c:crosses val="autoZero"/>
        <c:auto val="1"/>
        <c:lblAlgn val="ctr"/>
        <c:lblOffset val="100"/>
        <c:noMultiLvlLbl val="0"/>
      </c:catAx>
      <c:valAx>
        <c:axId val="190304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3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STM32 HAL 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 vs GD USB Sirine'!$A$101</c:f>
              <c:strCache>
                <c:ptCount val="1"/>
                <c:pt idx="0">
                  <c:v>HID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7-4F49-AC9F-AEF7B0E755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7-4F49-AC9F-AEF7B0E755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D7-4F49-AC9F-AEF7B0E755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D7-4F49-AC9F-AEF7B0E755D2}"/>
              </c:ext>
            </c:extLst>
          </c:dPt>
          <c:cat>
            <c:strRef>
              <c:f>'ST vs GD USB Sirine'!$B$100:$E$100</c:f>
              <c:strCache>
                <c:ptCount val="4"/>
                <c:pt idx="0">
                  <c:v>USB </c:v>
                </c:pt>
                <c:pt idx="1">
                  <c:v>PCD</c:v>
                </c:pt>
                <c:pt idx="2">
                  <c:v>RCC </c:v>
                </c:pt>
                <c:pt idx="3">
                  <c:v>Other HAL </c:v>
                </c:pt>
              </c:strCache>
            </c:strRef>
          </c:cat>
          <c:val>
            <c:numRef>
              <c:f>'ST vs GD USB Sirine'!$B$101:$E$101</c:f>
              <c:numCache>
                <c:formatCode>#,##0</c:formatCode>
                <c:ptCount val="4"/>
                <c:pt idx="0">
                  <c:v>2388</c:v>
                </c:pt>
                <c:pt idx="1">
                  <c:v>2618</c:v>
                </c:pt>
                <c:pt idx="2">
                  <c:v>4560</c:v>
                </c:pt>
                <c:pt idx="3" formatCode="General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D7-4F49-AC9F-AEF7B0E7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STM32</a:t>
            </a:r>
            <a:r>
              <a:rPr lang="en-US" baseline="0"/>
              <a:t> HAL ROM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 vs GD USB Sirine'!$A$102</c:f>
              <c:strCache>
                <c:ptCount val="1"/>
                <c:pt idx="0">
                  <c:v>CDC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49-428E-80A1-7D0F816CD8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49-428E-80A1-7D0F816CD8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49-428E-80A1-7D0F816CD8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49-428E-80A1-7D0F816CD8D6}"/>
              </c:ext>
            </c:extLst>
          </c:dPt>
          <c:cat>
            <c:strRef>
              <c:f>'ST vs GD USB Sirine'!$B$100:$E$100</c:f>
              <c:strCache>
                <c:ptCount val="4"/>
                <c:pt idx="0">
                  <c:v>USB </c:v>
                </c:pt>
                <c:pt idx="1">
                  <c:v>PCD</c:v>
                </c:pt>
                <c:pt idx="2">
                  <c:v>RCC </c:v>
                </c:pt>
                <c:pt idx="3">
                  <c:v>Other HAL </c:v>
                </c:pt>
              </c:strCache>
            </c:strRef>
          </c:cat>
          <c:val>
            <c:numRef>
              <c:f>'ST vs GD USB Sirine'!$B$102:$E$102</c:f>
              <c:numCache>
                <c:formatCode>#,##0</c:formatCode>
                <c:ptCount val="4"/>
                <c:pt idx="0">
                  <c:v>2388</c:v>
                </c:pt>
                <c:pt idx="1">
                  <c:v>2600</c:v>
                </c:pt>
                <c:pt idx="2">
                  <c:v>4560</c:v>
                </c:pt>
                <c:pt idx="3" formatCode="General">
                  <c:v>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49-428E-80A1-7D0F816CD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HID Footprint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Sirine'!$D$37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GD USB Sirine'!$A$38:$C$39</c:f>
              <c:multiLvlStrCache>
                <c:ptCount val="2"/>
                <c:lvl>
                  <c:pt idx="0">
                    <c:v>ROM</c:v>
                  </c:pt>
                  <c:pt idx="1">
                    <c:v>RAM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f>'ST vs GD USB Sirine'!$D$38:$D$39</c:f>
              <c:numCache>
                <c:formatCode>#,##0</c:formatCode>
                <c:ptCount val="2"/>
                <c:pt idx="0">
                  <c:v>9175</c:v>
                </c:pt>
                <c:pt idx="1">
                  <c:v>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4-4F8D-99D0-0F5B592BA113}"/>
            </c:ext>
          </c:extLst>
        </c:ser>
        <c:ser>
          <c:idx val="1"/>
          <c:order val="1"/>
          <c:tx>
            <c:strRef>
              <c:f>'ST vs GD USB Sirine'!$E$37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GD USB Sirine'!$A$38:$C$39</c:f>
              <c:multiLvlStrCache>
                <c:ptCount val="2"/>
                <c:lvl>
                  <c:pt idx="0">
                    <c:v>ROM</c:v>
                  </c:pt>
                  <c:pt idx="1">
                    <c:v>RAM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f>'ST vs GD USB Sirine'!$E$38:$E$39</c:f>
              <c:numCache>
                <c:formatCode>#,##0</c:formatCode>
                <c:ptCount val="2"/>
                <c:pt idx="0">
                  <c:v>16269</c:v>
                </c:pt>
                <c:pt idx="1">
                  <c:v>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4-4F8D-99D0-0F5B592BA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660863"/>
        <c:axId val="785661343"/>
      </c:barChart>
      <c:catAx>
        <c:axId val="7856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61343"/>
        <c:crosses val="autoZero"/>
        <c:auto val="1"/>
        <c:lblAlgn val="ctr"/>
        <c:lblOffset val="100"/>
        <c:noMultiLvlLbl val="0"/>
      </c:catAx>
      <c:valAx>
        <c:axId val="7856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6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GD USB Sirine'!$A$38:$C$38</c:f>
              <c:strCache>
                <c:ptCount val="3"/>
                <c:pt idx="0">
                  <c:v>HID</c:v>
                </c:pt>
                <c:pt idx="2">
                  <c:v>ROM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GD USB Sirine'!$D$37:$E$37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GD USB Sirine'!$D$38:$E$38</c:f>
              <c:numCache>
                <c:formatCode>#,##0</c:formatCode>
                <c:ptCount val="2"/>
                <c:pt idx="0">
                  <c:v>9175</c:v>
                </c:pt>
                <c:pt idx="1">
                  <c:v>16269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A-4BAA-982C-1869A42C43A4}"/>
            </c:ext>
          </c:extLst>
        </c:ser>
        <c:ser>
          <c:idx val="1"/>
          <c:order val="1"/>
          <c:tx>
            <c:strRef>
              <c:f>'ST vs GD USB Sirine'!$A$39:$C$39</c:f>
              <c:strCache>
                <c:ptCount val="3"/>
                <c:pt idx="0">
                  <c:v>HID</c:v>
                </c:pt>
                <c:pt idx="2">
                  <c:v>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GD USB Sirine'!$D$37:$E$37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GD USB Sirine'!$D$39:$E$39</c:f>
              <c:numCache>
                <c:formatCode>#,##0</c:formatCode>
                <c:ptCount val="2"/>
                <c:pt idx="0">
                  <c:v>9608</c:v>
                </c:pt>
                <c:pt idx="1">
                  <c:v>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A-4BAA-982C-1869A42C4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222559"/>
        <c:axId val="1536224479"/>
      </c:barChart>
      <c:catAx>
        <c:axId val="15362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4479"/>
        <c:crosses val="autoZero"/>
        <c:auto val="1"/>
        <c:lblAlgn val="ctr"/>
        <c:lblOffset val="100"/>
        <c:noMultiLvlLbl val="0"/>
      </c:catAx>
      <c:valAx>
        <c:axId val="153622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CDC</a:t>
            </a:r>
            <a:r>
              <a:rPr lang="en-US" baseline="0"/>
              <a:t> footprint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GD USB Sirine'!$A$40:$C$40</c:f>
              <c:strCache>
                <c:ptCount val="3"/>
                <c:pt idx="0">
                  <c:v>CDC</c:v>
                </c:pt>
                <c:pt idx="2">
                  <c:v>ROM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GD USB Sirine'!$D$37:$E$37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GD USB Sirine'!$D$40:$E$40</c:f>
              <c:numCache>
                <c:formatCode>#,##0</c:formatCode>
                <c:ptCount val="2"/>
                <c:pt idx="0">
                  <c:v>9085</c:v>
                </c:pt>
                <c:pt idx="1">
                  <c:v>17049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9-416A-9D8F-4CF1A54AA7B3}"/>
            </c:ext>
          </c:extLst>
        </c:ser>
        <c:ser>
          <c:idx val="1"/>
          <c:order val="1"/>
          <c:tx>
            <c:strRef>
              <c:f>'ST vs GD USB Sirine'!$A$41:$C$41</c:f>
              <c:strCache>
                <c:ptCount val="3"/>
                <c:pt idx="0">
                  <c:v>CDC</c:v>
                </c:pt>
                <c:pt idx="2">
                  <c:v>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GD USB Sirine'!$D$37:$E$37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GD USB Sirine'!$D$41:$E$41</c:f>
              <c:numCache>
                <c:formatCode>#,##0</c:formatCode>
                <c:ptCount val="2"/>
                <c:pt idx="0">
                  <c:v>9683</c:v>
                </c:pt>
                <c:pt idx="1">
                  <c:v>4089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9-416A-9D8F-4CF1A54A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231199"/>
        <c:axId val="1536229759"/>
      </c:barChart>
      <c:catAx>
        <c:axId val="153623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9759"/>
        <c:crosses val="autoZero"/>
        <c:auto val="1"/>
        <c:lblAlgn val="ctr"/>
        <c:lblOffset val="100"/>
        <c:noMultiLvlLbl val="0"/>
      </c:catAx>
      <c:valAx>
        <c:axId val="153622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GD USB Sirine'!$A$44:$C$44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GD USB Sirine'!$D$44</c:f>
              <c:numCache>
                <c:formatCode>General</c:formatCode>
                <c:ptCount val="1"/>
                <c:pt idx="0">
                  <c:v>26.083680999999999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66C-81FC-FF9A31ABCB4F}"/>
            </c:ext>
          </c:extLst>
        </c:ser>
        <c:ser>
          <c:idx val="1"/>
          <c:order val="1"/>
          <c:tx>
            <c:strRef>
              <c:f>'ST vs GD USB Sirine'!$E$43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GD USB Sirine'!$A$44:$C$44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GD USB Sirine'!$E$44</c:f>
              <c:numCache>
                <c:formatCode>General</c:formatCode>
                <c:ptCount val="1"/>
                <c:pt idx="0">
                  <c:v>9.9901060000000008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C-466C-81FC-FF9A31ABC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494207"/>
        <c:axId val="1622493727"/>
      </c:barChart>
      <c:catAx>
        <c:axId val="162249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93727"/>
        <c:crosses val="autoZero"/>
        <c:auto val="1"/>
        <c:lblAlgn val="ctr"/>
        <c:lblOffset val="100"/>
        <c:noMultiLvlLbl val="0"/>
      </c:catAx>
      <c:valAx>
        <c:axId val="16224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9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GD USB Sirine'!$D$43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GD USB Sirine'!$A$45:$C$45</c:f>
              <c:strCache>
                <c:ptCount val="3"/>
                <c:pt idx="0">
                  <c:v>HID</c:v>
                </c:pt>
                <c:pt idx="2">
                  <c:v>Enumeration </c:v>
                </c:pt>
              </c:strCache>
            </c:strRef>
          </c:cat>
          <c:val>
            <c:numRef>
              <c:f>'ST vs GD USB Sirine'!$D$45</c:f>
              <c:numCache>
                <c:formatCode>General</c:formatCode>
                <c:ptCount val="1"/>
                <c:pt idx="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B-45A3-8B7F-1A13947EC6F5}"/>
            </c:ext>
          </c:extLst>
        </c:ser>
        <c:ser>
          <c:idx val="1"/>
          <c:order val="1"/>
          <c:tx>
            <c:strRef>
              <c:f>'ST vs GD USB Sirine'!$E$43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GD USB Sirine'!$A$45:$C$45</c:f>
              <c:strCache>
                <c:ptCount val="3"/>
                <c:pt idx="0">
                  <c:v>HID</c:v>
                </c:pt>
                <c:pt idx="2">
                  <c:v>Enumeration </c:v>
                </c:pt>
              </c:strCache>
            </c:strRef>
          </c:cat>
          <c:val>
            <c:numRef>
              <c:f>'ST vs GD USB Sirine'!$E$45</c:f>
              <c:numCache>
                <c:formatCode>General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B-45A3-8B7F-1A13947EC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669935"/>
        <c:axId val="1505667055"/>
      </c:barChart>
      <c:catAx>
        <c:axId val="15056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67055"/>
        <c:crosses val="autoZero"/>
        <c:auto val="1"/>
        <c:lblAlgn val="ctr"/>
        <c:lblOffset val="100"/>
        <c:noMultiLvlLbl val="0"/>
      </c:catAx>
      <c:valAx>
        <c:axId val="15056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USB HID test ROM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'ST vs GD USB Sirine'!$E$67</c:f>
              <c:strCache>
                <c:ptCount val="1"/>
                <c:pt idx="0">
                  <c:v>MW stack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'ST vs GD USB Sirine'!$A$68:$B$71</c15:sqref>
                  </c15:fullRef>
                </c:ext>
              </c:extLst>
              <c:f>'ST vs GD USB Sirine'!$A$68:$B$69</c:f>
              <c:multiLvlStrCache>
                <c:ptCount val="2"/>
                <c:lvl>
                  <c:pt idx="0">
                    <c:v>STM32U575</c:v>
                  </c:pt>
                  <c:pt idx="1">
                    <c:v>GD32E508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 vs GD USB Sirine'!$E$68:$E$71</c15:sqref>
                  </c15:fullRef>
                </c:ext>
              </c:extLst>
              <c:f>'ST vs GD USB Sirine'!$E$68:$E$69</c:f>
              <c:numCache>
                <c:formatCode>General</c:formatCode>
                <c:ptCount val="2"/>
                <c:pt idx="0">
                  <c:v>2870</c:v>
                </c:pt>
                <c:pt idx="1">
                  <c:v>5738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7-46BE-969D-B5D54D70E607}"/>
            </c:ext>
          </c:extLst>
        </c:ser>
        <c:ser>
          <c:idx val="0"/>
          <c:order val="1"/>
          <c:tx>
            <c:strRef>
              <c:f>'ST vs GD USB Sirine'!$C$67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'ST vs GD USB Sirine'!$A$68:$B$71</c15:sqref>
                  </c15:fullRef>
                </c:ext>
              </c:extLst>
              <c:f>'ST vs GD USB Sirine'!$A$68:$B$69</c:f>
              <c:multiLvlStrCache>
                <c:ptCount val="2"/>
                <c:lvl>
                  <c:pt idx="0">
                    <c:v>STM32U575</c:v>
                  </c:pt>
                  <c:pt idx="1">
                    <c:v>GD32E508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 vs GD USB Sirine'!$C$68:$C$71</c15:sqref>
                  </c15:fullRef>
                </c:ext>
              </c:extLst>
              <c:f>'ST vs GD USB Sirine'!$C$68:$C$69</c:f>
              <c:numCache>
                <c:formatCode>General</c:formatCode>
                <c:ptCount val="2"/>
                <c:pt idx="0">
                  <c:v>1560</c:v>
                </c:pt>
                <c:pt idx="1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7-46BE-969D-B5D54D70E607}"/>
            </c:ext>
          </c:extLst>
        </c:ser>
        <c:ser>
          <c:idx val="1"/>
          <c:order val="2"/>
          <c:tx>
            <c:strRef>
              <c:f>'ST vs GD USB Sirine'!$D$67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rgbClr val="F22EC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'ST vs GD USB Sirine'!$A$68:$B$71</c15:sqref>
                  </c15:fullRef>
                </c:ext>
              </c:extLst>
              <c:f>'ST vs GD USB Sirine'!$A$68:$B$69</c:f>
              <c:multiLvlStrCache>
                <c:ptCount val="2"/>
                <c:lvl>
                  <c:pt idx="0">
                    <c:v>STM32U575</c:v>
                  </c:pt>
                  <c:pt idx="1">
                    <c:v>GD32E508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'ST vs GD USB Sirine'!$D$68:$D$71</c15:sqref>
                  </c15:fullRef>
                </c:ext>
              </c:extLst>
              <c:f>'ST vs GD USB Sirine'!$D$68:$D$69</c:f>
              <c:numCache>
                <c:formatCode>General</c:formatCode>
                <c:ptCount val="2"/>
                <c:pt idx="0">
                  <c:v>10442</c:v>
                </c:pt>
                <c:pt idx="1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7-46BE-969D-B5D54D70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038112"/>
        <c:axId val="1903043872"/>
      </c:barChart>
      <c:catAx>
        <c:axId val="190303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43872"/>
        <c:crosses val="autoZero"/>
        <c:auto val="1"/>
        <c:lblAlgn val="ctr"/>
        <c:lblOffset val="100"/>
        <c:noMultiLvlLbl val="0"/>
      </c:catAx>
      <c:valAx>
        <c:axId val="190304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3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ROM Footprint ST vs NXP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'[1]ST vs NXP'!$C$27</c:f>
              <c:strCache>
                <c:ptCount val="1"/>
                <c:pt idx="0">
                  <c:v>ROM w/ RCC config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'[1]ST vs NXP'!$A$28:$B$33</c:f>
              <c:multiLvlStrCache>
                <c:ptCount val="6"/>
                <c:lvl>
                  <c:pt idx="0">
                    <c:v>STM32U575</c:v>
                  </c:pt>
                  <c:pt idx="1">
                    <c:v>MCX-N9</c:v>
                  </c:pt>
                  <c:pt idx="2">
                    <c:v>STM32U575</c:v>
                  </c:pt>
                  <c:pt idx="3">
                    <c:v>MCX-N9</c:v>
                  </c:pt>
                  <c:pt idx="4">
                    <c:v>STM32U575</c:v>
                  </c:pt>
                  <c:pt idx="5">
                    <c:v>MCX-N9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'[1]ST vs NXP'!$C$28:$C$33</c:f>
              <c:numCache>
                <c:formatCode>General</c:formatCode>
                <c:ptCount val="6"/>
                <c:pt idx="0">
                  <c:v>16377</c:v>
                </c:pt>
                <c:pt idx="1">
                  <c:v>13728</c:v>
                </c:pt>
                <c:pt idx="2">
                  <c:v>17013</c:v>
                </c:pt>
                <c:pt idx="3">
                  <c:v>13549</c:v>
                </c:pt>
                <c:pt idx="4">
                  <c:v>35802</c:v>
                </c:pt>
                <c:pt idx="5">
                  <c:v>28363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D-489B-A339-7BD18897D764}"/>
            </c:ext>
          </c:extLst>
        </c:ser>
        <c:ser>
          <c:idx val="1"/>
          <c:order val="1"/>
          <c:tx>
            <c:strRef>
              <c:f>'[1]ST vs NXP'!$D$27</c:f>
              <c:strCache>
                <c:ptCount val="1"/>
                <c:pt idx="0">
                  <c:v>ROM w/o RCC config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multiLvlStrRef>
              <c:f>'[1]ST vs NXP'!$A$28:$B$33</c:f>
              <c:multiLvlStrCache>
                <c:ptCount val="6"/>
                <c:lvl>
                  <c:pt idx="0">
                    <c:v>STM32U575</c:v>
                  </c:pt>
                  <c:pt idx="1">
                    <c:v>MCX-N9</c:v>
                  </c:pt>
                  <c:pt idx="2">
                    <c:v>STM32U575</c:v>
                  </c:pt>
                  <c:pt idx="3">
                    <c:v>MCX-N9</c:v>
                  </c:pt>
                  <c:pt idx="4">
                    <c:v>STM32U575</c:v>
                  </c:pt>
                  <c:pt idx="5">
                    <c:v>MCX-N9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'[1]ST vs NXP'!$D$28:$D$33</c:f>
              <c:numCache>
                <c:formatCode>General</c:formatCode>
                <c:ptCount val="6"/>
                <c:pt idx="0">
                  <c:v>11817</c:v>
                </c:pt>
                <c:pt idx="1">
                  <c:v>12282</c:v>
                </c:pt>
                <c:pt idx="2">
                  <c:v>12453</c:v>
                </c:pt>
                <c:pt idx="3">
                  <c:v>12087</c:v>
                </c:pt>
                <c:pt idx="4">
                  <c:v>28618</c:v>
                </c:pt>
                <c:pt idx="5">
                  <c:v>26770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D-489B-A339-7BD18897D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3103312"/>
        <c:axId val="1503101872"/>
        <c:axId val="0"/>
      </c:bar3DChart>
      <c:catAx>
        <c:axId val="150310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101872"/>
        <c:crosses val="autoZero"/>
        <c:auto val="1"/>
        <c:lblAlgn val="ctr"/>
        <c:lblOffset val="100"/>
        <c:noMultiLvlLbl val="0"/>
      </c:catAx>
      <c:valAx>
        <c:axId val="15031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10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clock config footprint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'Nxp vs StM32U5'!$K$29:$K$30</c:f>
              <c:strCache>
                <c:ptCount val="2"/>
                <c:pt idx="0">
                  <c:v>clock config footprint Total (bytes)</c:v>
                </c:pt>
                <c:pt idx="1">
                  <c:v>MCX-N9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'Nxp vs StM32U5'!$J$31:$J$33</c:f>
              <c:strCache>
                <c:ptCount val="3"/>
                <c:pt idx="0">
                  <c:v>HID</c:v>
                </c:pt>
                <c:pt idx="1">
                  <c:v>CDC</c:v>
                </c:pt>
                <c:pt idx="2">
                  <c:v>MSC</c:v>
                </c:pt>
              </c:strCache>
            </c:strRef>
          </c:cat>
          <c:val>
            <c:numRef>
              <c:f>'Nxp vs StM32U5'!$K$31:$K$33</c:f>
              <c:numCache>
                <c:formatCode>General</c:formatCode>
                <c:ptCount val="3"/>
                <c:pt idx="0">
                  <c:v>1558</c:v>
                </c:pt>
                <c:pt idx="1">
                  <c:v>1470</c:v>
                </c:pt>
                <c:pt idx="2">
                  <c:v>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4-4DCC-BA8D-D14CB55374E2}"/>
            </c:ext>
          </c:extLst>
        </c:ser>
        <c:ser>
          <c:idx val="1"/>
          <c:order val="1"/>
          <c:tx>
            <c:strRef>
              <c:f>'Nxp vs StM32U5'!$L$29:$L$30</c:f>
              <c:strCache>
                <c:ptCount val="2"/>
                <c:pt idx="0">
                  <c:v>clock config footprint Total (bytes)</c:v>
                </c:pt>
                <c:pt idx="1">
                  <c:v>Nucleo_Stm32U5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'Nxp vs StM32U5'!$J$31:$J$33</c:f>
              <c:strCache>
                <c:ptCount val="3"/>
                <c:pt idx="0">
                  <c:v>HID</c:v>
                </c:pt>
                <c:pt idx="1">
                  <c:v>CDC</c:v>
                </c:pt>
                <c:pt idx="2">
                  <c:v>MSC</c:v>
                </c:pt>
              </c:strCache>
            </c:strRef>
          </c:cat>
          <c:val>
            <c:numRef>
              <c:f>'Nxp vs StM32U5'!$L$31:$L$33</c:f>
              <c:numCache>
                <c:formatCode>General</c:formatCode>
                <c:ptCount val="3"/>
                <c:pt idx="0">
                  <c:v>4560</c:v>
                </c:pt>
                <c:pt idx="1">
                  <c:v>4560</c:v>
                </c:pt>
                <c:pt idx="2">
                  <c:v>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4-4DCC-BA8D-D14CB553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6876287"/>
        <c:axId val="666876767"/>
      </c:barChart>
      <c:catAx>
        <c:axId val="66687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76767"/>
        <c:crosses val="autoZero"/>
        <c:auto val="1"/>
        <c:lblAlgn val="ctr"/>
        <c:lblOffset val="100"/>
        <c:noMultiLvlLbl val="0"/>
      </c:catAx>
      <c:valAx>
        <c:axId val="66687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7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Footprint with rcc config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'Nxp vs StM32U5'!$C$104:$C$105</c:f>
              <c:strCache>
                <c:ptCount val="2"/>
                <c:pt idx="0">
                  <c:v>Footprint with rcc config</c:v>
                </c:pt>
                <c:pt idx="1">
                  <c:v>ROM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'Nxp vs StM32U5'!$A$106:$B$111</c:f>
              <c:multiLvlStrCache>
                <c:ptCount val="6"/>
                <c:lvl>
                  <c:pt idx="0">
                    <c:v>MCX-N9</c:v>
                  </c:pt>
                  <c:pt idx="1">
                    <c:v>stm32U5</c:v>
                  </c:pt>
                  <c:pt idx="2">
                    <c:v>MCX-N9</c:v>
                  </c:pt>
                  <c:pt idx="3">
                    <c:v>stm32U5</c:v>
                  </c:pt>
                  <c:pt idx="4">
                    <c:v>MCX-N9</c:v>
                  </c:pt>
                  <c:pt idx="5">
                    <c:v>stm32U5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'Nxp vs StM32U5'!$C$106:$C$111</c:f>
              <c:numCache>
                <c:formatCode>General</c:formatCode>
                <c:ptCount val="6"/>
                <c:pt idx="0">
                  <c:v>14444</c:v>
                </c:pt>
                <c:pt idx="1">
                  <c:v>16385</c:v>
                </c:pt>
                <c:pt idx="2">
                  <c:v>22223</c:v>
                </c:pt>
                <c:pt idx="3">
                  <c:v>17013</c:v>
                </c:pt>
                <c:pt idx="4">
                  <c:v>28175</c:v>
                </c:pt>
                <c:pt idx="5">
                  <c:v>35802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7-4F57-A276-8226045C9082}"/>
            </c:ext>
          </c:extLst>
        </c:ser>
        <c:ser>
          <c:idx val="1"/>
          <c:order val="1"/>
          <c:tx>
            <c:strRef>
              <c:f>'Nxp vs StM32U5'!$D$104:$D$105</c:f>
              <c:strCache>
                <c:ptCount val="2"/>
                <c:pt idx="0">
                  <c:v>Footprint with rcc config</c:v>
                </c:pt>
                <c:pt idx="1">
                  <c:v>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'Nxp vs StM32U5'!$A$106:$B$111</c:f>
              <c:multiLvlStrCache>
                <c:ptCount val="6"/>
                <c:lvl>
                  <c:pt idx="0">
                    <c:v>MCX-N9</c:v>
                  </c:pt>
                  <c:pt idx="1">
                    <c:v>stm32U5</c:v>
                  </c:pt>
                  <c:pt idx="2">
                    <c:v>MCX-N9</c:v>
                  </c:pt>
                  <c:pt idx="3">
                    <c:v>stm32U5</c:v>
                  </c:pt>
                  <c:pt idx="4">
                    <c:v>MCX-N9</c:v>
                  </c:pt>
                  <c:pt idx="5">
                    <c:v>stm32U5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'Nxp vs StM32U5'!$D$106:$D$111</c:f>
              <c:numCache>
                <c:formatCode>#,##0</c:formatCode>
                <c:ptCount val="6"/>
                <c:pt idx="0">
                  <c:v>1720</c:v>
                </c:pt>
                <c:pt idx="1">
                  <c:v>2434</c:v>
                </c:pt>
                <c:pt idx="2">
                  <c:v>1360</c:v>
                </c:pt>
                <c:pt idx="3">
                  <c:v>3065</c:v>
                </c:pt>
                <c:pt idx="4">
                  <c:v>11859</c:v>
                </c:pt>
                <c:pt idx="5">
                  <c:v>13556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7-4F57-A276-8226045C9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986719"/>
        <c:axId val="153985759"/>
      </c:barChart>
      <c:catAx>
        <c:axId val="15398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85759"/>
        <c:crosses val="autoZero"/>
        <c:auto val="1"/>
        <c:lblAlgn val="ctr"/>
        <c:lblOffset val="100"/>
        <c:noMultiLvlLbl val="0"/>
      </c:catAx>
      <c:valAx>
        <c:axId val="1539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8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Footprint without rcc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'Nxp vs StM32U5'!$C$118:$C$119</c:f>
              <c:strCache>
                <c:ptCount val="2"/>
                <c:pt idx="0">
                  <c:v>Footprint without rcc config</c:v>
                </c:pt>
                <c:pt idx="1">
                  <c:v>ROM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'Nxp vs StM32U5'!$A$120:$B$125</c:f>
              <c:multiLvlStrCache>
                <c:ptCount val="6"/>
                <c:lvl>
                  <c:pt idx="0">
                    <c:v>MCX-N9</c:v>
                  </c:pt>
                  <c:pt idx="1">
                    <c:v>stm32U5</c:v>
                  </c:pt>
                  <c:pt idx="2">
                    <c:v>MCX-N9</c:v>
                  </c:pt>
                  <c:pt idx="3">
                    <c:v>stm32U5</c:v>
                  </c:pt>
                  <c:pt idx="4">
                    <c:v>MCX-N9</c:v>
                  </c:pt>
                  <c:pt idx="5">
                    <c:v>stm32U5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'Nxp vs StM32U5'!$C$120:$C$125</c:f>
              <c:numCache>
                <c:formatCode>General</c:formatCode>
                <c:ptCount val="6"/>
                <c:pt idx="0">
                  <c:v>12998</c:v>
                </c:pt>
                <c:pt idx="1">
                  <c:v>11825</c:v>
                </c:pt>
                <c:pt idx="2">
                  <c:v>20761</c:v>
                </c:pt>
                <c:pt idx="3">
                  <c:v>12453</c:v>
                </c:pt>
                <c:pt idx="4">
                  <c:v>26582</c:v>
                </c:pt>
                <c:pt idx="5">
                  <c:v>28618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2-4F22-B8F4-F9A00EF2A126}"/>
            </c:ext>
          </c:extLst>
        </c:ser>
        <c:ser>
          <c:idx val="1"/>
          <c:order val="1"/>
          <c:tx>
            <c:strRef>
              <c:f>'Nxp vs StM32U5'!$D$118:$D$119</c:f>
              <c:strCache>
                <c:ptCount val="2"/>
                <c:pt idx="0">
                  <c:v>Footprint without rcc config</c:v>
                </c:pt>
                <c:pt idx="1">
                  <c:v>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'Nxp vs StM32U5'!$A$120:$B$125</c:f>
              <c:multiLvlStrCache>
                <c:ptCount val="6"/>
                <c:lvl>
                  <c:pt idx="0">
                    <c:v>MCX-N9</c:v>
                  </c:pt>
                  <c:pt idx="1">
                    <c:v>stm32U5</c:v>
                  </c:pt>
                  <c:pt idx="2">
                    <c:v>MCX-N9</c:v>
                  </c:pt>
                  <c:pt idx="3">
                    <c:v>stm32U5</c:v>
                  </c:pt>
                  <c:pt idx="4">
                    <c:v>MCX-N9</c:v>
                  </c:pt>
                  <c:pt idx="5">
                    <c:v>stm32U5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'Nxp vs StM32U5'!$D$120:$D$125</c:f>
              <c:numCache>
                <c:formatCode>#,##0</c:formatCode>
                <c:ptCount val="6"/>
                <c:pt idx="0">
                  <c:v>1608</c:v>
                </c:pt>
                <c:pt idx="1">
                  <c:v>2434</c:v>
                </c:pt>
                <c:pt idx="2">
                  <c:v>1352</c:v>
                </c:pt>
                <c:pt idx="3">
                  <c:v>3065</c:v>
                </c:pt>
                <c:pt idx="4">
                  <c:v>11747</c:v>
                </c:pt>
                <c:pt idx="5">
                  <c:v>13556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2-4F22-B8F4-F9A00EF2A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638431"/>
        <c:axId val="50034175"/>
      </c:barChart>
      <c:catAx>
        <c:axId val="15276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4175"/>
        <c:crosses val="autoZero"/>
        <c:auto val="1"/>
        <c:lblAlgn val="ctr"/>
        <c:lblOffset val="100"/>
        <c:noMultiLvlLbl val="0"/>
      </c:catAx>
      <c:valAx>
        <c:axId val="5003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6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ROM Footprint ST vs NXP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'[1]ST vs NXP'!$C$27</c:f>
              <c:strCache>
                <c:ptCount val="1"/>
                <c:pt idx="0">
                  <c:v>ROM w/ RCC config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'[1]ST vs NXP'!$A$28:$B$33</c:f>
              <c:multiLvlStrCache>
                <c:ptCount val="6"/>
                <c:lvl>
                  <c:pt idx="0">
                    <c:v>STM32U575</c:v>
                  </c:pt>
                  <c:pt idx="1">
                    <c:v>MCX-N9</c:v>
                  </c:pt>
                  <c:pt idx="2">
                    <c:v>STM32U575</c:v>
                  </c:pt>
                  <c:pt idx="3">
                    <c:v>MCX-N9</c:v>
                  </c:pt>
                  <c:pt idx="4">
                    <c:v>STM32U575</c:v>
                  </c:pt>
                  <c:pt idx="5">
                    <c:v>MCX-N9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'[1]ST vs NXP'!$C$28:$C$33</c:f>
              <c:numCache>
                <c:formatCode>General</c:formatCode>
                <c:ptCount val="6"/>
                <c:pt idx="0">
                  <c:v>16377</c:v>
                </c:pt>
                <c:pt idx="1">
                  <c:v>13728</c:v>
                </c:pt>
                <c:pt idx="2">
                  <c:v>17013</c:v>
                </c:pt>
                <c:pt idx="3">
                  <c:v>13549</c:v>
                </c:pt>
                <c:pt idx="4">
                  <c:v>35802</c:v>
                </c:pt>
                <c:pt idx="5">
                  <c:v>28363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3-40AB-A179-2C286796C5A3}"/>
            </c:ext>
          </c:extLst>
        </c:ser>
        <c:ser>
          <c:idx val="1"/>
          <c:order val="1"/>
          <c:tx>
            <c:strRef>
              <c:f>'[1]ST vs NXP'!$D$27</c:f>
              <c:strCache>
                <c:ptCount val="1"/>
                <c:pt idx="0">
                  <c:v>ROM w/o RCC config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multiLvlStrRef>
              <c:f>'[1]ST vs NXP'!$A$28:$B$33</c:f>
              <c:multiLvlStrCache>
                <c:ptCount val="6"/>
                <c:lvl>
                  <c:pt idx="0">
                    <c:v>STM32U575</c:v>
                  </c:pt>
                  <c:pt idx="1">
                    <c:v>MCX-N9</c:v>
                  </c:pt>
                  <c:pt idx="2">
                    <c:v>STM32U575</c:v>
                  </c:pt>
                  <c:pt idx="3">
                    <c:v>MCX-N9</c:v>
                  </c:pt>
                  <c:pt idx="4">
                    <c:v>STM32U575</c:v>
                  </c:pt>
                  <c:pt idx="5">
                    <c:v>MCX-N9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  <c:pt idx="4">
                    <c:v>MSC</c:v>
                  </c:pt>
                </c:lvl>
              </c:multiLvlStrCache>
            </c:multiLvlStrRef>
          </c:cat>
          <c:val>
            <c:numRef>
              <c:f>'[1]ST vs NXP'!$D$28:$D$33</c:f>
              <c:numCache>
                <c:formatCode>General</c:formatCode>
                <c:ptCount val="6"/>
                <c:pt idx="0">
                  <c:v>11817</c:v>
                </c:pt>
                <c:pt idx="1">
                  <c:v>12282</c:v>
                </c:pt>
                <c:pt idx="2">
                  <c:v>12453</c:v>
                </c:pt>
                <c:pt idx="3">
                  <c:v>12087</c:v>
                </c:pt>
                <c:pt idx="4">
                  <c:v>28618</c:v>
                </c:pt>
                <c:pt idx="5">
                  <c:v>26770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3-40AB-A179-2C286796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3103312"/>
        <c:axId val="1503101872"/>
        <c:axId val="0"/>
      </c:bar3DChart>
      <c:catAx>
        <c:axId val="150310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101872"/>
        <c:crosses val="autoZero"/>
        <c:auto val="1"/>
        <c:lblAlgn val="ctr"/>
        <c:lblOffset val="100"/>
        <c:noMultiLvlLbl val="0"/>
      </c:catAx>
      <c:valAx>
        <c:axId val="15031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10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USB footprint comparison</a:t>
            </a:r>
            <a:r>
              <a:rPr lang="en-US" baseline="0"/>
              <a:t> </a:t>
            </a:r>
            <a:br>
              <a:rPr lang="en-US" baseline="0"/>
            </a:br>
            <a:r>
              <a:rPr lang="en-US" baseline="0"/>
              <a:t>ST v GD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Stack'!$D$37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Stack'!$A$38:$C$41</c:f>
              <c:multiLvlStrCache>
                <c:ptCount val="4"/>
                <c:lvl>
                  <c:pt idx="0">
                    <c:v>ROM</c:v>
                  </c:pt>
                  <c:pt idx="1">
                    <c:v>RAM</c:v>
                  </c:pt>
                  <c:pt idx="2">
                    <c:v>ROM</c:v>
                  </c:pt>
                  <c:pt idx="3">
                    <c:v>RAM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GigaDevice USB Stack'!$D$38:$D$41</c:f>
              <c:numCache>
                <c:formatCode>#,##0</c:formatCode>
                <c:ptCount val="4"/>
                <c:pt idx="0">
                  <c:v>9175</c:v>
                </c:pt>
                <c:pt idx="1">
                  <c:v>9608</c:v>
                </c:pt>
                <c:pt idx="2">
                  <c:v>9085</c:v>
                </c:pt>
                <c:pt idx="3">
                  <c:v>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FC8-8106-207D2F552631}"/>
            </c:ext>
          </c:extLst>
        </c:ser>
        <c:ser>
          <c:idx val="1"/>
          <c:order val="1"/>
          <c:tx>
            <c:strRef>
              <c:f>'ST vs GigaDevice USB Stack'!$E$37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Stack'!$A$38:$C$41</c:f>
              <c:multiLvlStrCache>
                <c:ptCount val="4"/>
                <c:lvl>
                  <c:pt idx="0">
                    <c:v>ROM</c:v>
                  </c:pt>
                  <c:pt idx="1">
                    <c:v>RAM</c:v>
                  </c:pt>
                  <c:pt idx="2">
                    <c:v>ROM</c:v>
                  </c:pt>
                  <c:pt idx="3">
                    <c:v>RAM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GigaDevice USB Stack'!$E$38:$E$41</c:f>
              <c:numCache>
                <c:formatCode>#,##0</c:formatCode>
                <c:ptCount val="4"/>
                <c:pt idx="0">
                  <c:v>16381</c:v>
                </c:pt>
                <c:pt idx="1">
                  <c:v>3458</c:v>
                </c:pt>
                <c:pt idx="2">
                  <c:v>17077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B-4FC8-8106-207D2F552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333024"/>
        <c:axId val="1603330624"/>
      </c:barChart>
      <c:catAx>
        <c:axId val="16033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30624"/>
        <c:crosses val="autoZero"/>
        <c:auto val="1"/>
        <c:lblAlgn val="ctr"/>
        <c:lblOffset val="100"/>
        <c:noMultiLvlLbl val="0"/>
      </c:catAx>
      <c:valAx>
        <c:axId val="16033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3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 vs GigaDevice USB Stack'!$D$43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'ST vs GigaDevice USB Stack'!$A$44:$C$44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GigaDevice USB Stack'!$D$44</c:f>
              <c:numCache>
                <c:formatCode>General</c:formatCode>
                <c:ptCount val="1"/>
                <c:pt idx="0">
                  <c:v>26.083680999999999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9-450D-9E71-BAE754AE543A}"/>
            </c:ext>
          </c:extLst>
        </c:ser>
        <c:ser>
          <c:idx val="1"/>
          <c:order val="1"/>
          <c:tx>
            <c:strRef>
              <c:f>'ST vs GigaDevice USB Stack'!$E$43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'ST vs GigaDevice USB Stack'!$A$44:$C$44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GigaDevice USB Stack'!$E$44</c:f>
              <c:numCache>
                <c:formatCode>General</c:formatCode>
                <c:ptCount val="1"/>
                <c:pt idx="0">
                  <c:v>9.9901060000000008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9-450D-9E71-BAE754AE5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3804736"/>
        <c:axId val="1253805216"/>
        <c:axId val="0"/>
      </c:bar3DChart>
      <c:catAx>
        <c:axId val="12538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805216"/>
        <c:crosses val="autoZero"/>
        <c:auto val="1"/>
        <c:lblAlgn val="ctr"/>
        <c:lblOffset val="100"/>
        <c:noMultiLvlLbl val="0"/>
      </c:catAx>
      <c:valAx>
        <c:axId val="12538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8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('ST vs GigaDevice USB Stack'!$A$44:$C$44,'ST vs GigaDevice USB Stack'!$A$47:$C$47)</c:f>
              <c:multiLvlStrCache>
                <c:ptCount val="2"/>
                <c:lvl>
                  <c:pt idx="0">
                    <c:v>Init </c:v>
                  </c:pt>
                  <c:pt idx="1">
                    <c:v>Init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GigaDevice USB Stack'!$D$44,'ST vs GigaDevice USB Stack'!$D$47)</c:f>
              <c:numCache>
                <c:formatCode>General</c:formatCode>
                <c:ptCount val="2"/>
                <c:pt idx="0">
                  <c:v>26.083680999999999</c:v>
                </c:pt>
                <c:pt idx="1">
                  <c:v>26.076238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8-4C1E-BCED-9D409E969FBF}"/>
            </c:ext>
          </c:extLst>
        </c:ser>
        <c:ser>
          <c:idx val="1"/>
          <c:order val="1"/>
          <c:tx>
            <c:strRef>
              <c:f>'ST vs GigaDevice USB Stack'!$E$43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('ST vs GigaDevice USB Stack'!$A$44:$C$44,'ST vs GigaDevice USB Stack'!$A$47:$C$47)</c:f>
              <c:multiLvlStrCache>
                <c:ptCount val="2"/>
                <c:lvl>
                  <c:pt idx="0">
                    <c:v>Init </c:v>
                  </c:pt>
                  <c:pt idx="1">
                    <c:v>Init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GigaDevice USB Stack'!$E$44,'ST vs GigaDevice USB Stack'!$E$47)</c:f>
              <c:numCache>
                <c:formatCode>General</c:formatCode>
                <c:ptCount val="2"/>
                <c:pt idx="0">
                  <c:v>9.9901060000000008</c:v>
                </c:pt>
                <c:pt idx="1">
                  <c:v>9.9936000000000007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8-4C1E-BCED-9D409E96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943456"/>
        <c:axId val="1468938176"/>
      </c:barChart>
      <c:catAx>
        <c:axId val="14689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38176"/>
        <c:crosses val="autoZero"/>
        <c:auto val="1"/>
        <c:lblAlgn val="ctr"/>
        <c:lblOffset val="100"/>
        <c:noMultiLvlLbl val="0"/>
      </c:catAx>
      <c:valAx>
        <c:axId val="14689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4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('ST vs GigaDevice USB Stack'!$A$45:$C$45,'ST vs GigaDevice USB Stack'!$A$48:$C$48)</c:f>
              <c:multiLvlStrCache>
                <c:ptCount val="2"/>
                <c:lvl>
                  <c:pt idx="0">
                    <c:v>Enumeration </c:v>
                  </c:pt>
                  <c:pt idx="1">
                    <c:v>Enumeration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GigaDevice USB Stack'!$D$45,'ST vs GigaDevice USB Stack'!$D$48)</c:f>
              <c:numCache>
                <c:formatCode>General</c:formatCode>
                <c:ptCount val="2"/>
                <c:pt idx="0">
                  <c:v>216</c:v>
                </c:pt>
                <c:pt idx="1">
                  <c:v>218.5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C-4A1F-A882-64968B08DA17}"/>
            </c:ext>
          </c:extLst>
        </c:ser>
        <c:ser>
          <c:idx val="1"/>
          <c:order val="1"/>
          <c:tx>
            <c:strRef>
              <c:f>'ST vs GigaDevice USB Stack'!$E$43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('ST vs GigaDevice USB Stack'!$A$45:$C$45,'ST vs GigaDevice USB Stack'!$A$48:$C$48)</c:f>
              <c:multiLvlStrCache>
                <c:ptCount val="2"/>
                <c:lvl>
                  <c:pt idx="0">
                    <c:v>Enumeration </c:v>
                  </c:pt>
                  <c:pt idx="1">
                    <c:v>Enumeration 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</c:lvl>
              </c:multiLvlStrCache>
            </c:multiLvlStrRef>
          </c:cat>
          <c:val>
            <c:numRef>
              <c:f>('ST vs GigaDevice USB Stack'!$E$45,'ST vs GigaDevice USB Stack'!$E$48)</c:f>
              <c:numCache>
                <c:formatCode>General</c:formatCode>
                <c:ptCount val="2"/>
                <c:pt idx="0">
                  <c:v>213</c:v>
                </c:pt>
                <c:pt idx="1">
                  <c:v>218.2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C-4A1F-A882-64968B08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226976"/>
        <c:axId val="1252227456"/>
      </c:barChart>
      <c:catAx>
        <c:axId val="12522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27456"/>
        <c:crosses val="autoZero"/>
        <c:auto val="1"/>
        <c:lblAlgn val="ctr"/>
        <c:lblOffset val="100"/>
        <c:noMultiLvlLbl val="0"/>
      </c:catAx>
      <c:valAx>
        <c:axId val="12522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('ST vs GigaDevice USB Stack'!$A$46:$C$46,'ST vs GigaDevice USB Stack'!$A$49:$C$50)</c:f>
              <c:multiLvlStrCache>
                <c:ptCount val="3"/>
                <c:lvl>
                  <c:pt idx="0">
                    <c:v>Data transmission </c:v>
                  </c:pt>
                  <c:pt idx="1">
                    <c:v>Data transmission (input)</c:v>
                  </c:pt>
                  <c:pt idx="2">
                    <c:v>Data transmission (output)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('ST vs GigaDevice USB Stack'!$D$46,'ST vs GigaDevice USB Stack'!$D$49:$D$50)</c:f>
              <c:numCache>
                <c:formatCode>General</c:formatCode>
                <c:ptCount val="3"/>
                <c:pt idx="0">
                  <c:v>9.3500000000000007E-3</c:v>
                </c:pt>
                <c:pt idx="1">
                  <c:v>1.0034E-2</c:v>
                </c:pt>
                <c:pt idx="2">
                  <c:v>9.9319999999999999E-3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A-4A2C-9B69-7648E90E3C25}"/>
            </c:ext>
          </c:extLst>
        </c:ser>
        <c:ser>
          <c:idx val="1"/>
          <c:order val="1"/>
          <c:tx>
            <c:strRef>
              <c:f>'ST vs GigaDevice USB Stack'!$E$43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('ST vs GigaDevice USB Stack'!$A$46:$C$46,'ST vs GigaDevice USB Stack'!$A$49:$C$50)</c:f>
              <c:multiLvlStrCache>
                <c:ptCount val="3"/>
                <c:lvl>
                  <c:pt idx="0">
                    <c:v>Data transmission </c:v>
                  </c:pt>
                  <c:pt idx="1">
                    <c:v>Data transmission (input)</c:v>
                  </c:pt>
                  <c:pt idx="2">
                    <c:v>Data transmission (output)</c:v>
                  </c:pt>
                </c:lvl>
                <c:lvl>
                  <c:pt idx="0">
                    <c:v>HID</c:v>
                  </c:pt>
                  <c:pt idx="1">
                    <c:v>CDC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('ST vs GigaDevice USB Stack'!$E$46,'ST vs GigaDevice USB Stack'!$E$49:$E$50)</c:f>
              <c:numCache>
                <c:formatCode>General</c:formatCode>
                <c:ptCount val="3"/>
                <c:pt idx="0">
                  <c:v>9.2840000000000006E-3</c:v>
                </c:pt>
                <c:pt idx="1">
                  <c:v>9.8799999999999999E-3</c:v>
                </c:pt>
                <c:pt idx="2">
                  <c:v>9.8600000000000007E-3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A-4A2C-9B69-7648E90E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540448"/>
        <c:axId val="1670539008"/>
      </c:barChart>
      <c:catAx>
        <c:axId val="16705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39008"/>
        <c:crosses val="autoZero"/>
        <c:auto val="1"/>
        <c:lblAlgn val="ctr"/>
        <c:lblOffset val="100"/>
        <c:noMultiLvlLbl val="0"/>
      </c:catAx>
      <c:valAx>
        <c:axId val="167053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GigaDevice USB Stack'!$C$61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Stack'!$A$62:$B$65</c:f>
              <c:multiLvlStrCache>
                <c:ptCount val="4"/>
                <c:lvl>
                  <c:pt idx="0">
                    <c:v>HID</c:v>
                  </c:pt>
                  <c:pt idx="1">
                    <c:v>CDC</c:v>
                  </c:pt>
                  <c:pt idx="2">
                    <c:v>HID</c:v>
                  </c:pt>
                  <c:pt idx="3">
                    <c:v>CDC</c:v>
                  </c:pt>
                </c:lvl>
                <c:lvl>
                  <c:pt idx="0">
                    <c:v>STM32U575</c:v>
                  </c:pt>
                  <c:pt idx="2">
                    <c:v>GD32E507</c:v>
                  </c:pt>
                </c:lvl>
              </c:multiLvlStrCache>
            </c:multiLvlStrRef>
          </c:cat>
          <c:val>
            <c:numRef>
              <c:f>'ST vs GigaDevice USB Stack'!$C$62:$C$65</c:f>
              <c:numCache>
                <c:formatCode>General</c:formatCode>
                <c:ptCount val="4"/>
                <c:pt idx="0">
                  <c:v>1560</c:v>
                </c:pt>
                <c:pt idx="1">
                  <c:v>1543</c:v>
                </c:pt>
                <c:pt idx="2">
                  <c:v>1498</c:v>
                </c:pt>
                <c:pt idx="3">
                  <c:v>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0-41EA-B39A-E8AF0412A909}"/>
            </c:ext>
          </c:extLst>
        </c:ser>
        <c:ser>
          <c:idx val="1"/>
          <c:order val="1"/>
          <c:tx>
            <c:strRef>
              <c:f>'ST vs GigaDevice USB Stack'!$D$61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Stack'!$A$62:$B$65</c:f>
              <c:multiLvlStrCache>
                <c:ptCount val="4"/>
                <c:lvl>
                  <c:pt idx="0">
                    <c:v>HID</c:v>
                  </c:pt>
                  <c:pt idx="1">
                    <c:v>CDC</c:v>
                  </c:pt>
                  <c:pt idx="2">
                    <c:v>HID</c:v>
                  </c:pt>
                  <c:pt idx="3">
                    <c:v>CDC</c:v>
                  </c:pt>
                </c:lvl>
                <c:lvl>
                  <c:pt idx="0">
                    <c:v>STM32U575</c:v>
                  </c:pt>
                  <c:pt idx="2">
                    <c:v>GD32E507</c:v>
                  </c:pt>
                </c:lvl>
              </c:multiLvlStrCache>
            </c:multiLvlStrRef>
          </c:cat>
          <c:val>
            <c:numRef>
              <c:f>'ST vs GigaDevice USB Stack'!$D$62:$D$65</c:f>
              <c:numCache>
                <c:formatCode>General</c:formatCode>
                <c:ptCount val="4"/>
                <c:pt idx="0">
                  <c:v>10442</c:v>
                </c:pt>
                <c:pt idx="1">
                  <c:v>10442</c:v>
                </c:pt>
                <c:pt idx="2">
                  <c:v>820</c:v>
                </c:pt>
                <c:pt idx="3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0-41EA-B39A-E8AF0412A909}"/>
            </c:ext>
          </c:extLst>
        </c:ser>
        <c:ser>
          <c:idx val="2"/>
          <c:order val="2"/>
          <c:tx>
            <c:strRef>
              <c:f>'ST vs GigaDevice USB Stack'!$E$61</c:f>
              <c:strCache>
                <c:ptCount val="1"/>
                <c:pt idx="0">
                  <c:v>MW stack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Stack'!$A$62:$B$65</c:f>
              <c:multiLvlStrCache>
                <c:ptCount val="4"/>
                <c:lvl>
                  <c:pt idx="0">
                    <c:v>HID</c:v>
                  </c:pt>
                  <c:pt idx="1">
                    <c:v>CDC</c:v>
                  </c:pt>
                  <c:pt idx="2">
                    <c:v>HID</c:v>
                  </c:pt>
                  <c:pt idx="3">
                    <c:v>CDC</c:v>
                  </c:pt>
                </c:lvl>
                <c:lvl>
                  <c:pt idx="0">
                    <c:v>STM32U575</c:v>
                  </c:pt>
                  <c:pt idx="2">
                    <c:v>GD32E507</c:v>
                  </c:pt>
                </c:lvl>
              </c:multiLvlStrCache>
            </c:multiLvlStrRef>
          </c:cat>
          <c:val>
            <c:numRef>
              <c:f>'ST vs GigaDevice USB Stack'!$E$62:$E$65</c:f>
              <c:numCache>
                <c:formatCode>General</c:formatCode>
                <c:ptCount val="4"/>
                <c:pt idx="0">
                  <c:v>2870</c:v>
                </c:pt>
                <c:pt idx="1">
                  <c:v>3290</c:v>
                </c:pt>
                <c:pt idx="2">
                  <c:v>5738</c:v>
                </c:pt>
                <c:pt idx="3">
                  <c:v>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0-41EA-B39A-E8AF0412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9387840"/>
        <c:axId val="1759383520"/>
      </c:barChart>
      <c:catAx>
        <c:axId val="17593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83520"/>
        <c:crosses val="autoZero"/>
        <c:auto val="1"/>
        <c:lblAlgn val="ctr"/>
        <c:lblOffset val="100"/>
        <c:noMultiLvlLbl val="0"/>
      </c:catAx>
      <c:valAx>
        <c:axId val="17593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8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GigaDevice USB Stack'!$C$67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Stack'!$A$68:$B$71</c:f>
              <c:multiLvlStrCache>
                <c:ptCount val="4"/>
                <c:lvl>
                  <c:pt idx="0">
                    <c:v>STM32U575</c:v>
                  </c:pt>
                  <c:pt idx="1">
                    <c:v>GD32E508</c:v>
                  </c:pt>
                  <c:pt idx="2">
                    <c:v>STM32U576</c:v>
                  </c:pt>
                  <c:pt idx="3">
                    <c:v>GD32E508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GigaDevice USB Stack'!$C$68:$C$71</c:f>
              <c:numCache>
                <c:formatCode>General</c:formatCode>
                <c:ptCount val="4"/>
                <c:pt idx="0">
                  <c:v>1560</c:v>
                </c:pt>
                <c:pt idx="1">
                  <c:v>1498</c:v>
                </c:pt>
                <c:pt idx="2">
                  <c:v>1543</c:v>
                </c:pt>
                <c:pt idx="3">
                  <c:v>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4-4286-B77F-E9555F423CE1}"/>
            </c:ext>
          </c:extLst>
        </c:ser>
        <c:ser>
          <c:idx val="1"/>
          <c:order val="1"/>
          <c:tx>
            <c:strRef>
              <c:f>'ST vs GigaDevice USB Stack'!$D$67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Stack'!$A$68:$B$71</c:f>
              <c:multiLvlStrCache>
                <c:ptCount val="4"/>
                <c:lvl>
                  <c:pt idx="0">
                    <c:v>STM32U575</c:v>
                  </c:pt>
                  <c:pt idx="1">
                    <c:v>GD32E508</c:v>
                  </c:pt>
                  <c:pt idx="2">
                    <c:v>STM32U576</c:v>
                  </c:pt>
                  <c:pt idx="3">
                    <c:v>GD32E508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GigaDevice USB Stack'!$D$68:$D$71</c:f>
              <c:numCache>
                <c:formatCode>General</c:formatCode>
                <c:ptCount val="4"/>
                <c:pt idx="0">
                  <c:v>10442</c:v>
                </c:pt>
                <c:pt idx="1">
                  <c:v>820</c:v>
                </c:pt>
                <c:pt idx="2">
                  <c:v>10442</c:v>
                </c:pt>
                <c:pt idx="3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E4-4286-B77F-E9555F423CE1}"/>
            </c:ext>
          </c:extLst>
        </c:ser>
        <c:ser>
          <c:idx val="2"/>
          <c:order val="2"/>
          <c:tx>
            <c:strRef>
              <c:f>'ST vs GigaDevice USB Stack'!$E$67</c:f>
              <c:strCache>
                <c:ptCount val="1"/>
                <c:pt idx="0">
                  <c:v>MW stack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Stack'!$A$68:$B$71</c:f>
              <c:multiLvlStrCache>
                <c:ptCount val="4"/>
                <c:lvl>
                  <c:pt idx="0">
                    <c:v>STM32U575</c:v>
                  </c:pt>
                  <c:pt idx="1">
                    <c:v>GD32E508</c:v>
                  </c:pt>
                  <c:pt idx="2">
                    <c:v>STM32U576</c:v>
                  </c:pt>
                  <c:pt idx="3">
                    <c:v>GD32E508</c:v>
                  </c:pt>
                </c:lvl>
                <c:lvl>
                  <c:pt idx="0">
                    <c:v>HID</c:v>
                  </c:pt>
                  <c:pt idx="2">
                    <c:v>CDC</c:v>
                  </c:pt>
                </c:lvl>
              </c:multiLvlStrCache>
            </c:multiLvlStrRef>
          </c:cat>
          <c:val>
            <c:numRef>
              <c:f>'ST vs GigaDevice USB Stack'!$E$68:$E$71</c:f>
              <c:numCache>
                <c:formatCode>General</c:formatCode>
                <c:ptCount val="4"/>
                <c:pt idx="0">
                  <c:v>2870</c:v>
                </c:pt>
                <c:pt idx="1">
                  <c:v>5738</c:v>
                </c:pt>
                <c:pt idx="2">
                  <c:v>3290</c:v>
                </c:pt>
                <c:pt idx="3">
                  <c:v>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E4-4286-B77F-E9555F423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038112"/>
        <c:axId val="1903043872"/>
      </c:barChart>
      <c:catAx>
        <c:axId val="190303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43872"/>
        <c:crosses val="autoZero"/>
        <c:auto val="1"/>
        <c:lblAlgn val="ctr"/>
        <c:lblOffset val="100"/>
        <c:noMultiLvlLbl val="0"/>
      </c:catAx>
      <c:valAx>
        <c:axId val="19030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3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 vs GigaDevice USB Stack'!$A$101</c:f>
              <c:strCache>
                <c:ptCount val="1"/>
                <c:pt idx="0">
                  <c:v>HID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20-4A45-BDE4-29A664AF0D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20-4A45-BDE4-29A664AF0D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20-4A45-BDE4-29A664AF0D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20-4A45-BDE4-29A664AF0DDB}"/>
              </c:ext>
            </c:extLst>
          </c:dPt>
          <c:cat>
            <c:strRef>
              <c:f>'ST vs GigaDevice USB Stack'!$B$100:$E$100</c:f>
              <c:strCache>
                <c:ptCount val="4"/>
                <c:pt idx="0">
                  <c:v>USB (bytes)</c:v>
                </c:pt>
                <c:pt idx="1">
                  <c:v>PCD (bytes)</c:v>
                </c:pt>
                <c:pt idx="2">
                  <c:v>RCC (bytes)</c:v>
                </c:pt>
                <c:pt idx="3">
                  <c:v>Other HAL (bytes)</c:v>
                </c:pt>
              </c:strCache>
            </c:strRef>
          </c:cat>
          <c:val>
            <c:numRef>
              <c:f>'ST vs GigaDevice USB Stack'!$B$101:$E$101</c:f>
              <c:numCache>
                <c:formatCode>#,##0</c:formatCode>
                <c:ptCount val="4"/>
                <c:pt idx="0">
                  <c:v>2388</c:v>
                </c:pt>
                <c:pt idx="1">
                  <c:v>2618</c:v>
                </c:pt>
                <c:pt idx="2">
                  <c:v>4560</c:v>
                </c:pt>
                <c:pt idx="3" formatCode="General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C-41D1-A105-107BF4AE5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 vs GigaDevice USB Stack'!$A$102</c:f>
              <c:strCache>
                <c:ptCount val="1"/>
                <c:pt idx="0">
                  <c:v>CDC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3E-4927-817C-8CCC5C5910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3E-4927-817C-8CCC5C5910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3E-4927-817C-8CCC5C5910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3E-4927-817C-8CCC5C591079}"/>
              </c:ext>
            </c:extLst>
          </c:dPt>
          <c:cat>
            <c:strRef>
              <c:f>'ST vs GigaDevice USB Stack'!$B$100:$E$100</c:f>
              <c:strCache>
                <c:ptCount val="4"/>
                <c:pt idx="0">
                  <c:v>USB (bytes)</c:v>
                </c:pt>
                <c:pt idx="1">
                  <c:v>PCD (bytes)</c:v>
                </c:pt>
                <c:pt idx="2">
                  <c:v>RCC (bytes)</c:v>
                </c:pt>
                <c:pt idx="3">
                  <c:v>Other HAL (bytes)</c:v>
                </c:pt>
              </c:strCache>
            </c:strRef>
          </c:cat>
          <c:val>
            <c:numRef>
              <c:f>'ST vs GigaDevice USB Stack'!$B$102:$E$102</c:f>
              <c:numCache>
                <c:formatCode>#,##0</c:formatCode>
                <c:ptCount val="4"/>
                <c:pt idx="0">
                  <c:v>2388</c:v>
                </c:pt>
                <c:pt idx="1">
                  <c:v>2600</c:v>
                </c:pt>
                <c:pt idx="2">
                  <c:v>4560</c:v>
                </c:pt>
                <c:pt idx="3" formatCode="General">
                  <c:v>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6-48D1-9D24-EB4AE355F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HID Footprint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Stack'!$D$37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Stack'!$A$38:$C$39</c:f>
              <c:multiLvlStrCache>
                <c:ptCount val="2"/>
                <c:lvl>
                  <c:pt idx="0">
                    <c:v>ROM</c:v>
                  </c:pt>
                  <c:pt idx="1">
                    <c:v>RAM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f>'ST vs GigaDevice USB Stack'!$D$38:$D$39</c:f>
              <c:numCache>
                <c:formatCode>#,##0</c:formatCode>
                <c:ptCount val="2"/>
                <c:pt idx="0">
                  <c:v>9175</c:v>
                </c:pt>
                <c:pt idx="1">
                  <c:v>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E-4D05-825B-BAB84CE9E741}"/>
            </c:ext>
          </c:extLst>
        </c:ser>
        <c:ser>
          <c:idx val="1"/>
          <c:order val="1"/>
          <c:tx>
            <c:strRef>
              <c:f>'ST vs GigaDevice USB Stack'!$E$37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'ST vs GigaDevice USB Stack'!$A$38:$C$39</c:f>
              <c:multiLvlStrCache>
                <c:ptCount val="2"/>
                <c:lvl>
                  <c:pt idx="0">
                    <c:v>ROM</c:v>
                  </c:pt>
                  <c:pt idx="1">
                    <c:v>RAM</c:v>
                  </c:pt>
                </c:lvl>
                <c:lvl>
                  <c:pt idx="0">
                    <c:v>HID</c:v>
                  </c:pt>
                </c:lvl>
              </c:multiLvlStrCache>
            </c:multiLvlStrRef>
          </c:cat>
          <c:val>
            <c:numRef>
              <c:f>'ST vs GigaDevice USB Stack'!$E$38:$E$39</c:f>
              <c:numCache>
                <c:formatCode>#,##0</c:formatCode>
                <c:ptCount val="2"/>
                <c:pt idx="0">
                  <c:v>16381</c:v>
                </c:pt>
                <c:pt idx="1">
                  <c:v>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E-4D05-825B-BAB84CE9E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660863"/>
        <c:axId val="785661343"/>
      </c:barChart>
      <c:catAx>
        <c:axId val="7856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61343"/>
        <c:crosses val="autoZero"/>
        <c:auto val="1"/>
        <c:lblAlgn val="ctr"/>
        <c:lblOffset val="100"/>
        <c:noMultiLvlLbl val="0"/>
      </c:catAx>
      <c:valAx>
        <c:axId val="7856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6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GigaDevice USB Stack'!$A$38:$C$38</c:f>
              <c:strCache>
                <c:ptCount val="3"/>
                <c:pt idx="0">
                  <c:v>HID</c:v>
                </c:pt>
                <c:pt idx="2">
                  <c:v>ROM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GigaDevice USB Stack'!$D$37:$E$37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GigaDevice USB Stack'!$D$38:$E$38</c:f>
              <c:numCache>
                <c:formatCode>#,##0</c:formatCode>
                <c:ptCount val="2"/>
                <c:pt idx="0">
                  <c:v>9175</c:v>
                </c:pt>
                <c:pt idx="1">
                  <c:v>16381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C-4D9A-9B29-21F1E031951C}"/>
            </c:ext>
          </c:extLst>
        </c:ser>
        <c:ser>
          <c:idx val="1"/>
          <c:order val="1"/>
          <c:tx>
            <c:strRef>
              <c:f>'ST vs GigaDevice USB Stack'!$A$39:$C$39</c:f>
              <c:strCache>
                <c:ptCount val="3"/>
                <c:pt idx="0">
                  <c:v>HID</c:v>
                </c:pt>
                <c:pt idx="2">
                  <c:v>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GigaDevice USB Stack'!$D$37:$E$37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GigaDevice USB Stack'!$D$39:$E$39</c:f>
              <c:numCache>
                <c:formatCode>#,##0</c:formatCode>
                <c:ptCount val="2"/>
                <c:pt idx="0">
                  <c:v>9608</c:v>
                </c:pt>
                <c:pt idx="1">
                  <c:v>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C-4D9A-9B29-21F1E0319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222559"/>
        <c:axId val="1536224479"/>
      </c:barChart>
      <c:catAx>
        <c:axId val="15362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4479"/>
        <c:crosses val="autoZero"/>
        <c:auto val="1"/>
        <c:lblAlgn val="ctr"/>
        <c:lblOffset val="100"/>
        <c:noMultiLvlLbl val="0"/>
      </c:catAx>
      <c:valAx>
        <c:axId val="153622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CDC</a:t>
            </a:r>
            <a:r>
              <a:rPr lang="en-US" baseline="0"/>
              <a:t> footprint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 vs GigaDevice USB Stack'!$A$40:$C$40</c:f>
              <c:strCache>
                <c:ptCount val="3"/>
                <c:pt idx="0">
                  <c:v>CDC</c:v>
                </c:pt>
                <c:pt idx="2">
                  <c:v>ROM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GigaDevice USB Stack'!$D$37:$E$37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GigaDevice USB Stack'!$D$40:$E$40</c:f>
              <c:numCache>
                <c:formatCode>#,##0</c:formatCode>
                <c:ptCount val="2"/>
                <c:pt idx="0">
                  <c:v>9085</c:v>
                </c:pt>
                <c:pt idx="1">
                  <c:v>17077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2-4C59-AB2A-BBDFF5A6A5AB}"/>
            </c:ext>
          </c:extLst>
        </c:ser>
        <c:ser>
          <c:idx val="1"/>
          <c:order val="1"/>
          <c:tx>
            <c:strRef>
              <c:f>'ST vs GigaDevice USB Stack'!$A$41:$C$41</c:f>
              <c:strCache>
                <c:ptCount val="3"/>
                <c:pt idx="0">
                  <c:v>CDC</c:v>
                </c:pt>
                <c:pt idx="2">
                  <c:v>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GigaDevice USB Stack'!$D$37:$E$37</c:f>
              <c:strCache>
                <c:ptCount val="2"/>
                <c:pt idx="0">
                  <c:v>GD32</c:v>
                </c:pt>
                <c:pt idx="1">
                  <c:v>STM32</c:v>
                </c:pt>
              </c:strCache>
            </c:strRef>
          </c:cat>
          <c:val>
            <c:numRef>
              <c:f>'ST vs GigaDevice USB Stack'!$D$41:$E$41</c:f>
              <c:numCache>
                <c:formatCode>#,##0</c:formatCode>
                <c:ptCount val="2"/>
                <c:pt idx="0">
                  <c:v>9683</c:v>
                </c:pt>
                <c:pt idx="1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62-4C59-AB2A-BBDFF5A6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231199"/>
        <c:axId val="1536229759"/>
      </c:barChart>
      <c:catAx>
        <c:axId val="153623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29759"/>
        <c:crosses val="autoZero"/>
        <c:auto val="1"/>
        <c:lblAlgn val="ctr"/>
        <c:lblOffset val="100"/>
        <c:noMultiLvlLbl val="0"/>
      </c:catAx>
      <c:valAx>
        <c:axId val="153622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GigaDevice USB Stack'!$A$44:$C$44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GigaDevice USB Stack'!$D$44</c:f>
              <c:numCache>
                <c:formatCode>General</c:formatCode>
                <c:ptCount val="1"/>
                <c:pt idx="0">
                  <c:v>26.083680999999999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A-4BBF-84AB-7230F0A5D2CF}"/>
            </c:ext>
          </c:extLst>
        </c:ser>
        <c:ser>
          <c:idx val="1"/>
          <c:order val="1"/>
          <c:tx>
            <c:strRef>
              <c:f>'ST vs GigaDevice USB Stack'!$E$43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GigaDevice USB Stack'!$A$44:$C$44</c:f>
              <c:strCache>
                <c:ptCount val="3"/>
                <c:pt idx="0">
                  <c:v>HID</c:v>
                </c:pt>
                <c:pt idx="2">
                  <c:v>Init </c:v>
                </c:pt>
              </c:strCache>
            </c:strRef>
          </c:cat>
          <c:val>
            <c:numRef>
              <c:f>'ST vs GigaDevice USB Stack'!$E$44</c:f>
              <c:numCache>
                <c:formatCode>General</c:formatCode>
                <c:ptCount val="1"/>
                <c:pt idx="0">
                  <c:v>9.9901060000000008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A-4BBF-84AB-7230F0A5D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494207"/>
        <c:axId val="1622493727"/>
      </c:barChart>
      <c:catAx>
        <c:axId val="162249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93727"/>
        <c:crosses val="autoZero"/>
        <c:auto val="1"/>
        <c:lblAlgn val="ctr"/>
        <c:lblOffset val="100"/>
        <c:noMultiLvlLbl val="0"/>
      </c:catAx>
      <c:valAx>
        <c:axId val="16224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9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 vs GigaDevice USB Stack'!$D$43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 vs GigaDevice USB Stack'!$A$45:$C$45</c:f>
              <c:strCache>
                <c:ptCount val="3"/>
                <c:pt idx="0">
                  <c:v>HID</c:v>
                </c:pt>
                <c:pt idx="2">
                  <c:v>Enumeration </c:v>
                </c:pt>
              </c:strCache>
            </c:strRef>
          </c:cat>
          <c:val>
            <c:numRef>
              <c:f>'ST vs GigaDevice USB Stack'!$D$45</c:f>
              <c:numCache>
                <c:formatCode>General</c:formatCode>
                <c:ptCount val="1"/>
                <c:pt idx="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0-44B0-9E1C-1365617CB347}"/>
            </c:ext>
          </c:extLst>
        </c:ser>
        <c:ser>
          <c:idx val="1"/>
          <c:order val="1"/>
          <c:tx>
            <c:strRef>
              <c:f>'ST vs GigaDevice USB Stack'!$E$43</c:f>
              <c:strCache>
                <c:ptCount val="1"/>
                <c:pt idx="0">
                  <c:v>STM32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 vs GigaDevice USB Stack'!$A$45:$C$45</c:f>
              <c:strCache>
                <c:ptCount val="3"/>
                <c:pt idx="0">
                  <c:v>HID</c:v>
                </c:pt>
                <c:pt idx="2">
                  <c:v>Enumeration </c:v>
                </c:pt>
              </c:strCache>
            </c:strRef>
          </c:cat>
          <c:val>
            <c:numRef>
              <c:f>'ST vs GigaDevice USB Stack'!$E$45</c:f>
              <c:numCache>
                <c:formatCode>General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0-44B0-9E1C-1365617CB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669935"/>
        <c:axId val="1505667055"/>
      </c:barChart>
      <c:catAx>
        <c:axId val="15056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67055"/>
        <c:crosses val="autoZero"/>
        <c:auto val="1"/>
        <c:lblAlgn val="ctr"/>
        <c:lblOffset val="100"/>
        <c:noMultiLvlLbl val="0"/>
      </c:catAx>
      <c:valAx>
        <c:axId val="15056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RTOS tests ROM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MW stack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multiLvlStrRef>
              <c:f>Sheet1!$B$18:$C$23</c:f>
              <c:multiLvlStrCache>
                <c:ptCount val="6"/>
                <c:lvl>
                  <c:pt idx="0">
                    <c:v>STM32U575</c:v>
                  </c:pt>
                  <c:pt idx="1">
                    <c:v>GD32E507</c:v>
                  </c:pt>
                  <c:pt idx="2">
                    <c:v>STM32U575</c:v>
                  </c:pt>
                  <c:pt idx="3">
                    <c:v>GD32E507</c:v>
                  </c:pt>
                  <c:pt idx="4">
                    <c:v>STM32U575</c:v>
                  </c:pt>
                  <c:pt idx="5">
                    <c:v>GD32E507</c:v>
                  </c:pt>
                </c:lvl>
                <c:lvl>
                  <c:pt idx="0">
                    <c:v>Basic Processing</c:v>
                  </c:pt>
                  <c:pt idx="2">
                    <c:v>Cooperative Processing </c:v>
                  </c:pt>
                  <c:pt idx="4">
                    <c:v>Preemptive Processing </c:v>
                  </c:pt>
                </c:lvl>
              </c:multiLvlStrCache>
            </c:multiLvlStrRef>
          </c:cat>
          <c:val>
            <c:numRef>
              <c:f>Sheet1!$D$18:$D$23</c:f>
              <c:numCache>
                <c:formatCode>General</c:formatCode>
                <c:ptCount val="6"/>
                <c:pt idx="0">
                  <c:v>4808</c:v>
                </c:pt>
                <c:pt idx="1">
                  <c:v>4772</c:v>
                </c:pt>
                <c:pt idx="2">
                  <c:v>4688</c:v>
                </c:pt>
                <c:pt idx="3">
                  <c:v>4662</c:v>
                </c:pt>
                <c:pt idx="4">
                  <c:v>5124</c:v>
                </c:pt>
                <c:pt idx="5">
                  <c:v>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C-457E-A05F-45A7C0CDC398}"/>
            </c:ext>
          </c:extLst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App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Sheet1!$B$18:$C$23</c:f>
              <c:multiLvlStrCache>
                <c:ptCount val="6"/>
                <c:lvl>
                  <c:pt idx="0">
                    <c:v>STM32U575</c:v>
                  </c:pt>
                  <c:pt idx="1">
                    <c:v>GD32E507</c:v>
                  </c:pt>
                  <c:pt idx="2">
                    <c:v>STM32U575</c:v>
                  </c:pt>
                  <c:pt idx="3">
                    <c:v>GD32E507</c:v>
                  </c:pt>
                  <c:pt idx="4">
                    <c:v>STM32U575</c:v>
                  </c:pt>
                  <c:pt idx="5">
                    <c:v>GD32E507</c:v>
                  </c:pt>
                </c:lvl>
                <c:lvl>
                  <c:pt idx="0">
                    <c:v>Basic Processing</c:v>
                  </c:pt>
                  <c:pt idx="2">
                    <c:v>Cooperative Processing </c:v>
                  </c:pt>
                  <c:pt idx="4">
                    <c:v>Preemptive Processing </c:v>
                  </c:pt>
                </c:lvl>
              </c:multiLvlStrCache>
            </c:multiLvlStrRef>
          </c:cat>
          <c:val>
            <c:numRef>
              <c:f>Sheet1!$E$18:$E$23</c:f>
              <c:numCache>
                <c:formatCode>General</c:formatCode>
                <c:ptCount val="6"/>
                <c:pt idx="0">
                  <c:v>4531</c:v>
                </c:pt>
                <c:pt idx="1">
                  <c:v>4278</c:v>
                </c:pt>
                <c:pt idx="2">
                  <c:v>5823</c:v>
                </c:pt>
                <c:pt idx="3">
                  <c:v>5484</c:v>
                </c:pt>
                <c:pt idx="4">
                  <c:v>6191</c:v>
                </c:pt>
                <c:pt idx="5">
                  <c:v>5810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C-457E-A05F-45A7C0CDC398}"/>
            </c:ext>
          </c:extLst>
        </c:ser>
        <c:ser>
          <c:idx val="2"/>
          <c:order val="2"/>
          <c:tx>
            <c:strRef>
              <c:f>Sheet1!$F$17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rgbClr val="F22EC3"/>
            </a:solidFill>
            <a:ln>
              <a:noFill/>
            </a:ln>
            <a:effectLst/>
          </c:spPr>
          <c:invertIfNegative val="0"/>
          <c:cat>
            <c:multiLvlStrRef>
              <c:f>Sheet1!$B$18:$C$23</c:f>
              <c:multiLvlStrCache>
                <c:ptCount val="6"/>
                <c:lvl>
                  <c:pt idx="0">
                    <c:v>STM32U575</c:v>
                  </c:pt>
                  <c:pt idx="1">
                    <c:v>GD32E507</c:v>
                  </c:pt>
                  <c:pt idx="2">
                    <c:v>STM32U575</c:v>
                  </c:pt>
                  <c:pt idx="3">
                    <c:v>GD32E507</c:v>
                  </c:pt>
                  <c:pt idx="4">
                    <c:v>STM32U575</c:v>
                  </c:pt>
                  <c:pt idx="5">
                    <c:v>GD32E507</c:v>
                  </c:pt>
                </c:lvl>
                <c:lvl>
                  <c:pt idx="0">
                    <c:v>Basic Processing</c:v>
                  </c:pt>
                  <c:pt idx="2">
                    <c:v>Cooperative Processing </c:v>
                  </c:pt>
                  <c:pt idx="4">
                    <c:v>Preemptive Processing </c:v>
                  </c:pt>
                </c:lvl>
              </c:multiLvlStrCache>
            </c:multiLvlStrRef>
          </c:cat>
          <c:val>
            <c:numRef>
              <c:f>Sheet1!$F$18:$F$23</c:f>
              <c:numCache>
                <c:formatCode>General</c:formatCode>
                <c:ptCount val="6"/>
                <c:pt idx="0">
                  <c:v>2189</c:v>
                </c:pt>
                <c:pt idx="1">
                  <c:v>1078</c:v>
                </c:pt>
                <c:pt idx="2">
                  <c:v>4911</c:v>
                </c:pt>
                <c:pt idx="3">
                  <c:v>1078</c:v>
                </c:pt>
                <c:pt idx="4">
                  <c:v>4911</c:v>
                </c:pt>
                <c:pt idx="5">
                  <c:v>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9C-457E-A05F-45A7C0CDC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6706959"/>
        <c:axId val="946707919"/>
      </c:barChart>
      <c:catAx>
        <c:axId val="9467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7919"/>
        <c:crosses val="autoZero"/>
        <c:auto val="1"/>
        <c:lblAlgn val="ctr"/>
        <c:lblOffset val="100"/>
        <c:noMultiLvlLbl val="0"/>
      </c:catAx>
      <c:valAx>
        <c:axId val="9467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FreeRTOS performance: STM32 vs GD32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STM32U575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Sheet1!$B$29:$B$31</c:f>
              <c:strCache>
                <c:ptCount val="3"/>
                <c:pt idx="0">
                  <c:v>Basic Processing (Thread/s)</c:v>
                </c:pt>
                <c:pt idx="1">
                  <c:v>Cooperative Processing (Thread/30s)</c:v>
                </c:pt>
                <c:pt idx="2">
                  <c:v>Preemptive Processing (Thread/30s)</c:v>
                </c:pt>
              </c:strCache>
            </c:strRef>
          </c:cat>
          <c:val>
            <c:numRef>
              <c:f>Sheet1!$C$29:$C$31</c:f>
              <c:numCache>
                <c:formatCode>#,##0</c:formatCode>
                <c:ptCount val="3"/>
                <c:pt idx="0">
                  <c:v>47943</c:v>
                </c:pt>
                <c:pt idx="1">
                  <c:v>1220066</c:v>
                </c:pt>
                <c:pt idx="2">
                  <c:v>294615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4-4675-A2AC-6566480305F5}"/>
            </c:ext>
          </c:extLst>
        </c:ser>
        <c:ser>
          <c:idx val="1"/>
          <c:order val="1"/>
          <c:tx>
            <c:strRef>
              <c:f>Sheet1!$D$28</c:f>
              <c:strCache>
                <c:ptCount val="1"/>
                <c:pt idx="0">
                  <c:v>GD32E507</c:v>
                </c:pt>
              </c:strCache>
            </c:strRef>
          </c:tx>
          <c:spPr>
            <a:solidFill>
              <a:srgbClr val="F22EC3"/>
            </a:solidFill>
            <a:ln>
              <a:noFill/>
            </a:ln>
            <a:effectLst/>
          </c:spPr>
          <c:invertIfNegative val="0"/>
          <c:cat>
            <c:strRef>
              <c:f>Sheet1!$B$29:$B$31</c:f>
              <c:strCache>
                <c:ptCount val="3"/>
                <c:pt idx="0">
                  <c:v>Basic Processing (Thread/s)</c:v>
                </c:pt>
                <c:pt idx="1">
                  <c:v>Cooperative Processing (Thread/30s)</c:v>
                </c:pt>
                <c:pt idx="2">
                  <c:v>Preemptive Processing (Thread/30s)</c:v>
                </c:pt>
              </c:strCache>
            </c:strRef>
          </c:cat>
          <c:val>
            <c:numRef>
              <c:f>Sheet1!$D$29:$D$31</c:f>
              <c:numCache>
                <c:formatCode>#,##0</c:formatCode>
                <c:ptCount val="3"/>
                <c:pt idx="0">
                  <c:v>47955</c:v>
                </c:pt>
                <c:pt idx="1">
                  <c:v>1200666</c:v>
                </c:pt>
                <c:pt idx="2">
                  <c:v>285144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4-4675-A2AC-656648030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0939247"/>
        <c:axId val="1290939727"/>
      </c:barChart>
      <c:catAx>
        <c:axId val="129093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39727"/>
        <c:crosses val="autoZero"/>
        <c:auto val="1"/>
        <c:lblAlgn val="ctr"/>
        <c:lblOffset val="100"/>
        <c:noMultiLvlLbl val="0"/>
      </c:catAx>
      <c:valAx>
        <c:axId val="129093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3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'optimized freertos project st'!$C$28:$C$29</c:f>
              <c:strCache>
                <c:ptCount val="2"/>
                <c:pt idx="0">
                  <c:v>Performance(threads/second)</c:v>
                </c:pt>
                <c:pt idx="1">
                  <c:v>GD32E507Z(CM33)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'optimized freertos project st'!$A$30:$A$35</c:f>
              <c:strCache>
                <c:ptCount val="5"/>
                <c:pt idx="0">
                  <c:v>Basic Processing Test</c:v>
                </c:pt>
                <c:pt idx="2">
                  <c:v>Cooperative Test</c:v>
                </c:pt>
                <c:pt idx="4">
                  <c:v>Preemptive Test</c:v>
                </c:pt>
              </c:strCache>
            </c:strRef>
          </c:cat>
          <c:val>
            <c:numRef>
              <c:f>'optimized freertos project st'!$C$30:$C$35</c:f>
              <c:numCache>
                <c:formatCode>General</c:formatCode>
                <c:ptCount val="6"/>
                <c:pt idx="0" formatCode="#,##0">
                  <c:v>47955</c:v>
                </c:pt>
                <c:pt idx="2" formatCode="#,##0">
                  <c:v>1200666</c:v>
                </c:pt>
                <c:pt idx="4" formatCode="#,##0">
                  <c:v>285144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C-4C11-B1A0-30842DFE09F5}"/>
            </c:ext>
          </c:extLst>
        </c:ser>
        <c:ser>
          <c:idx val="3"/>
          <c:order val="3"/>
          <c:tx>
            <c:strRef>
              <c:f>'optimized freertos project st'!$E$28:$E$29</c:f>
              <c:strCache>
                <c:ptCount val="2"/>
                <c:pt idx="0">
                  <c:v>Performance(threads/second)</c:v>
                </c:pt>
                <c:pt idx="1">
                  <c:v>STM32U573(CM33)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'optimized freertos project st'!$A$30:$A$35</c:f>
              <c:strCache>
                <c:ptCount val="5"/>
                <c:pt idx="0">
                  <c:v>Basic Processing Test</c:v>
                </c:pt>
                <c:pt idx="2">
                  <c:v>Cooperative Test</c:v>
                </c:pt>
                <c:pt idx="4">
                  <c:v>Preemptive Test</c:v>
                </c:pt>
              </c:strCache>
            </c:strRef>
          </c:cat>
          <c:val>
            <c:numRef>
              <c:f>'optimized freertos project st'!$E$30:$E$35</c:f>
              <c:numCache>
                <c:formatCode>General</c:formatCode>
                <c:ptCount val="6"/>
                <c:pt idx="0" formatCode="#,##0">
                  <c:v>47943</c:v>
                </c:pt>
                <c:pt idx="2" formatCode="#,##0">
                  <c:v>1220066</c:v>
                </c:pt>
                <c:pt idx="4" formatCode="#,##0">
                  <c:v>294615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DC-4C11-B1A0-30842DFE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9"/>
        <c:axId val="1266315824"/>
        <c:axId val="12663163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'optimized freertos project st'!$B$28:$B$29</c15:sqref>
                        </c15:formulaRef>
                      </c:ext>
                    </c:extLst>
                    <c:strCache>
                      <c:ptCount val="2"/>
                      <c:pt idx="0">
                        <c:v>FreeRtos Scenario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'optimized freertos project st'!$A$30:$A$35</c15:sqref>
                        </c15:formulaRef>
                      </c:ext>
                    </c:extLst>
                    <c:strCache>
                      <c:ptCount val="5"/>
                      <c:pt idx="0">
                        <c:v>Basic Processing Test</c:v>
                      </c:pt>
                      <c:pt idx="2">
                        <c:v>Cooperative Test</c:v>
                      </c:pt>
                      <c:pt idx="4">
                        <c:v>Preemptive Test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'optimized freertos project st'!$B$30:$B$35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4DC-4C11-B1A0-30842DFE09F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'optimized freertos project st'!$D$28:$D$29</c15:sqref>
                        </c15:formulaRef>
                      </c:ext>
                    </c:extLst>
                    <c:strCache>
                      <c:ptCount val="2"/>
                      <c:pt idx="0">
                        <c:v>Performance(threads/second)</c:v>
                      </c:pt>
                      <c:pt idx="1">
                        <c:v>GD32E507Z(CM33)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'optimized freertos project st'!$A$30:$A$35</c15:sqref>
                        </c15:formulaRef>
                      </c:ext>
                    </c:extLst>
                    <c:strCache>
                      <c:ptCount val="5"/>
                      <c:pt idx="0">
                        <c:v>Basic Processing Test</c:v>
                      </c:pt>
                      <c:pt idx="2">
                        <c:v>Cooperative Test</c:v>
                      </c:pt>
                      <c:pt idx="4">
                        <c:v>Preemptive Test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'optimized freertos project st'!$D$30:$D$35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4DC-4C11-B1A0-30842DFE09F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'optimized freertos project st'!$F$28:$F$29</c15:sqref>
                        </c15:formulaRef>
                      </c:ext>
                    </c:extLst>
                    <c:strCache>
                      <c:ptCount val="2"/>
                      <c:pt idx="0">
                        <c:v>Performance(threads/second)</c:v>
                      </c:pt>
                      <c:pt idx="1">
                        <c:v>STM32U573(CM33)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'optimized freertos project st'!$A$30:$A$35</c15:sqref>
                        </c15:formulaRef>
                      </c:ext>
                    </c:extLst>
                    <c:strCache>
                      <c:ptCount val="5"/>
                      <c:pt idx="0">
                        <c:v>Basic Processing Test</c:v>
                      </c:pt>
                      <c:pt idx="2">
                        <c:v>Cooperative Test</c:v>
                      </c:pt>
                      <c:pt idx="4">
                        <c:v>Preemptive Test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'optimized freertos project st'!$F$30:$F$35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4DC-4C11-B1A0-30842DFE09F5}"/>
                  </c:ext>
                </c:extLst>
              </c15:ser>
            </c15:filteredBarSeries>
          </c:ext>
        </c:extLst>
      </c:barChart>
      <c:catAx>
        <c:axId val="12663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16304"/>
        <c:crosses val="autoZero"/>
        <c:auto val="1"/>
        <c:lblAlgn val="ctr"/>
        <c:lblOffset val="100"/>
        <c:noMultiLvlLbl val="0"/>
      </c:catAx>
      <c:valAx>
        <c:axId val="12663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1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Footprint</a:t>
            </a:r>
            <a:r>
              <a:rPr lang="en-US" baseline="0"/>
              <a:t> comparison ST Vs GD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'optimized freertos project st'!$D$37:$D$37</c:f>
              <c:strCache>
                <c:ptCount val="1"/>
                <c:pt idx="0">
                  <c:v>GD32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'optimized freertos project st'!$A$39:$C$44</c:f>
              <c:multiLvlStrCache>
                <c:ptCount val="6"/>
                <c:lvl>
                  <c:pt idx="0">
                    <c:v>ROM</c:v>
                  </c:pt>
                  <c:pt idx="1">
                    <c:v>RAM</c:v>
                  </c:pt>
                  <c:pt idx="2">
                    <c:v>ROM</c:v>
                  </c:pt>
                  <c:pt idx="3">
                    <c:v>RAM</c:v>
                  </c:pt>
                  <c:pt idx="4">
                    <c:v>ROM</c:v>
                  </c:pt>
                  <c:pt idx="5">
                    <c:v>RAM</c:v>
                  </c:pt>
                </c:lvl>
                <c:lvl>
                  <c:pt idx="0">
                    <c:v>Basic Processing Test</c:v>
                  </c:pt>
                  <c:pt idx="2">
                    <c:v>Cooperative Test</c:v>
                  </c:pt>
                  <c:pt idx="4">
                    <c:v>Preemptive Test</c:v>
                  </c:pt>
                </c:lvl>
              </c:multiLvlStrCache>
            </c:multiLvlStrRef>
          </c:cat>
          <c:val>
            <c:numRef>
              <c:f>'optimized freertos project st'!$D$39:$D$44</c:f>
              <c:numCache>
                <c:formatCode>#,##0</c:formatCode>
                <c:ptCount val="6"/>
                <c:pt idx="0">
                  <c:v>10128</c:v>
                </c:pt>
                <c:pt idx="1">
                  <c:v>11716</c:v>
                </c:pt>
                <c:pt idx="2">
                  <c:v>31014</c:v>
                </c:pt>
                <c:pt idx="3">
                  <c:v>10724</c:v>
                </c:pt>
                <c:pt idx="4">
                  <c:v>31748</c:v>
                </c:pt>
                <c:pt idx="5">
                  <c:v>10748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7-443A-AEC1-B692C9234924}"/>
            </c:ext>
          </c:extLst>
        </c:ser>
        <c:ser>
          <c:idx val="1"/>
          <c:order val="1"/>
          <c:tx>
            <c:strRef>
              <c:f>'optimized freertos project st'!$E$37:$E$37</c:f>
              <c:strCache>
                <c:ptCount val="1"/>
                <c:pt idx="0">
                  <c:v>STM32U5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'optimized freertos project st'!$A$39:$C$44</c:f>
              <c:multiLvlStrCache>
                <c:ptCount val="6"/>
                <c:lvl>
                  <c:pt idx="0">
                    <c:v>ROM</c:v>
                  </c:pt>
                  <c:pt idx="1">
                    <c:v>RAM</c:v>
                  </c:pt>
                  <c:pt idx="2">
                    <c:v>ROM</c:v>
                  </c:pt>
                  <c:pt idx="3">
                    <c:v>RAM</c:v>
                  </c:pt>
                  <c:pt idx="4">
                    <c:v>ROM</c:v>
                  </c:pt>
                  <c:pt idx="5">
                    <c:v>RAM</c:v>
                  </c:pt>
                </c:lvl>
                <c:lvl>
                  <c:pt idx="0">
                    <c:v>Basic Processing Test</c:v>
                  </c:pt>
                  <c:pt idx="2">
                    <c:v>Cooperative Test</c:v>
                  </c:pt>
                  <c:pt idx="4">
                    <c:v>Preemptive Test</c:v>
                  </c:pt>
                </c:lvl>
              </c:multiLvlStrCache>
            </c:multiLvlStrRef>
          </c:cat>
          <c:val>
            <c:numRef>
              <c:f>'optimized freertos project st'!$E$39:$E$44</c:f>
              <c:numCache>
                <c:formatCode>#,##0</c:formatCode>
                <c:ptCount val="6"/>
                <c:pt idx="0">
                  <c:v>14266</c:v>
                </c:pt>
                <c:pt idx="1">
                  <c:v>11960</c:v>
                </c:pt>
                <c:pt idx="2">
                  <c:v>40364</c:v>
                </c:pt>
                <c:pt idx="3">
                  <c:v>10972</c:v>
                </c:pt>
                <c:pt idx="4">
                  <c:v>37366</c:v>
                </c:pt>
                <c:pt idx="5">
                  <c:v>10996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7-443A-AEC1-B692C9234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5678880"/>
        <c:axId val="1505674560"/>
        <c:axId val="0"/>
      </c:bar3DChart>
      <c:catAx>
        <c:axId val="150567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74560"/>
        <c:crosses val="autoZero"/>
        <c:auto val="1"/>
        <c:lblAlgn val="ctr"/>
        <c:lblOffset val="100"/>
        <c:noMultiLvlLbl val="0"/>
      </c:catAx>
      <c:valAx>
        <c:axId val="15056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 vs STCube2'!$D$1</c:f>
              <c:strCache>
                <c:ptCount val="1"/>
                <c:pt idx="0">
                  <c:v>MSP flash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 vs STCube2'!$A$3:$A$14</c:f>
              <c:strCache>
                <c:ptCount val="12"/>
                <c:pt idx="0">
                  <c:v>ADC timer trigger</c:v>
                </c:pt>
                <c:pt idx="1">
                  <c:v>GPIO toggle</c:v>
                </c:pt>
                <c:pt idx="2">
                  <c:v>I2C DMA controller</c:v>
                </c:pt>
                <c:pt idx="3">
                  <c:v>I2C DMA responder</c:v>
                </c:pt>
                <c:pt idx="4">
                  <c:v>I2C IT controller</c:v>
                </c:pt>
                <c:pt idx="5">
                  <c:v>I2C IT responder</c:v>
                </c:pt>
                <c:pt idx="6">
                  <c:v>I2C polling controller</c:v>
                </c:pt>
                <c:pt idx="7">
                  <c:v>I2C polling responder</c:v>
                </c:pt>
                <c:pt idx="8">
                  <c:v>SPI DMA controller</c:v>
                </c:pt>
                <c:pt idx="9">
                  <c:v>SPI DMA peripheral</c:v>
                </c:pt>
                <c:pt idx="10">
                  <c:v>UART printf</c:v>
                </c:pt>
                <c:pt idx="11">
                  <c:v>USART loopback</c:v>
                </c:pt>
              </c:strCache>
            </c:strRef>
          </c:cat>
          <c:val>
            <c:numRef>
              <c:f>'TI vs STCube2'!$D$3:$D$14</c:f>
              <c:numCache>
                <c:formatCode>General</c:formatCode>
                <c:ptCount val="12"/>
                <c:pt idx="0" formatCode="#,##0">
                  <c:v>1476</c:v>
                </c:pt>
                <c:pt idx="1">
                  <c:v>656</c:v>
                </c:pt>
                <c:pt idx="2" formatCode="#,##0">
                  <c:v>1928</c:v>
                </c:pt>
                <c:pt idx="3" formatCode="#,##0">
                  <c:v>1744</c:v>
                </c:pt>
                <c:pt idx="4" formatCode="#,##0">
                  <c:v>1580</c:v>
                </c:pt>
                <c:pt idx="5" formatCode="#,##0">
                  <c:v>1388</c:v>
                </c:pt>
                <c:pt idx="6" formatCode="#,##0">
                  <c:v>1420</c:v>
                </c:pt>
                <c:pt idx="7" formatCode="#,##0">
                  <c:v>1412</c:v>
                </c:pt>
                <c:pt idx="8" formatCode="#,##0">
                  <c:v>1704</c:v>
                </c:pt>
                <c:pt idx="9" formatCode="#,##0">
                  <c:v>1876</c:v>
                </c:pt>
                <c:pt idx="10" formatCode="#,##0">
                  <c:v>1326</c:v>
                </c:pt>
                <c:pt idx="11" formatCode="#,##0">
                  <c:v>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1-40E0-83E4-791DE92BEB42}"/>
            </c:ext>
          </c:extLst>
        </c:ser>
        <c:ser>
          <c:idx val="1"/>
          <c:order val="1"/>
          <c:tx>
            <c:strRef>
              <c:f>'TI vs STCube2'!$G$1</c:f>
              <c:strCache>
                <c:ptCount val="1"/>
                <c:pt idx="0">
                  <c:v>ST flash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 vs STCube2'!$A$3:$A$14</c:f>
              <c:strCache>
                <c:ptCount val="12"/>
                <c:pt idx="0">
                  <c:v>ADC timer trigger</c:v>
                </c:pt>
                <c:pt idx="1">
                  <c:v>GPIO toggle</c:v>
                </c:pt>
                <c:pt idx="2">
                  <c:v>I2C DMA controller</c:v>
                </c:pt>
                <c:pt idx="3">
                  <c:v>I2C DMA responder</c:v>
                </c:pt>
                <c:pt idx="4">
                  <c:v>I2C IT controller</c:v>
                </c:pt>
                <c:pt idx="5">
                  <c:v>I2C IT responder</c:v>
                </c:pt>
                <c:pt idx="6">
                  <c:v>I2C polling controller</c:v>
                </c:pt>
                <c:pt idx="7">
                  <c:v>I2C polling responder</c:v>
                </c:pt>
                <c:pt idx="8">
                  <c:v>SPI DMA controller</c:v>
                </c:pt>
                <c:pt idx="9">
                  <c:v>SPI DMA peripheral</c:v>
                </c:pt>
                <c:pt idx="10">
                  <c:v>UART printf</c:v>
                </c:pt>
                <c:pt idx="11">
                  <c:v>USART loopback</c:v>
                </c:pt>
              </c:strCache>
            </c:strRef>
          </c:cat>
          <c:val>
            <c:numRef>
              <c:f>'TI vs STCube2'!$G$3:$G$14</c:f>
              <c:numCache>
                <c:formatCode>General</c:formatCode>
                <c:ptCount val="12"/>
                <c:pt idx="0" formatCode="#,##0">
                  <c:v>1416</c:v>
                </c:pt>
                <c:pt idx="1">
                  <c:v>772</c:v>
                </c:pt>
                <c:pt idx="2" formatCode="#,##0">
                  <c:v>1840</c:v>
                </c:pt>
                <c:pt idx="3" formatCode="#,##0">
                  <c:v>1687</c:v>
                </c:pt>
                <c:pt idx="4" formatCode="#,##0">
                  <c:v>1732</c:v>
                </c:pt>
                <c:pt idx="5" formatCode="#,##0">
                  <c:v>1460</c:v>
                </c:pt>
                <c:pt idx="6" formatCode="#,##0">
                  <c:v>1376</c:v>
                </c:pt>
                <c:pt idx="7" formatCode="#,##0">
                  <c:v>1340</c:v>
                </c:pt>
                <c:pt idx="8" formatCode="#,##0">
                  <c:v>2151</c:v>
                </c:pt>
                <c:pt idx="9" formatCode="#,##0">
                  <c:v>1940</c:v>
                </c:pt>
                <c:pt idx="10" formatCode="#,##0">
                  <c:v>1318</c:v>
                </c:pt>
                <c:pt idx="11" formatCode="#,##0">
                  <c:v>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1-40E0-83E4-791DE92B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141312"/>
        <c:axId val="520297504"/>
      </c:barChart>
      <c:catAx>
        <c:axId val="191314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297504"/>
        <c:crosses val="autoZero"/>
        <c:auto val="1"/>
        <c:lblAlgn val="ctr"/>
        <c:lblOffset val="100"/>
        <c:noMultiLvlLbl val="0"/>
      </c:catAx>
      <c:valAx>
        <c:axId val="5202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4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ocumenttasks/documenttask1.xml><?xml version="1.0" encoding="utf-8"?>
<Tasks xmlns="http://schemas.microsoft.com/office/tasks/2019/documenttasks">
  <Task id="{2CF6AFDF-A126-4994-B984-55EF6258B968}">
    <Anchor>
      <Comment id="{7208F77F-A8E5-4263-98C5-8AC770E633DB}"/>
    </Anchor>
    <History>
      <Event time="2025-12-04T10:52:09.54" id="{FDC6E7C6-5184-4D7E-86B7-161C51E49221}">
        <Attribution userId="S::radhia.kacem@st.com::29f2eca4-ee7e-4c55-bc1f-19958fa08b11" userName="Radhia KACEM" userProvider="AD"/>
        <Anchor>
          <Comment id="{1B4155C8-9A29-4A97-8BBC-35D270C4152F}"/>
        </Anchor>
        <Create/>
      </Event>
      <Event time="2025-12-04T10:52:09.54" id="{6B117ECD-9D41-4B69-8A12-7F4C2C057E21}">
        <Attribution userId="S::radhia.kacem@st.com::29f2eca4-ee7e-4c55-bc1f-19958fa08b11" userName="Radhia KACEM" userProvider="AD"/>
        <Anchor>
          <Comment id="{1B4155C8-9A29-4A97-8BBC-35D270C4152F}"/>
        </Anchor>
        <Assign userId="S::aymen.bouattay@st.com::81c97f29-ee39-430b-bbed-7d85cff7215d" userName="Aymen BOUATTAY" userProvider="AD"/>
      </Event>
      <Event time="2025-12-04T10:52:09.54" id="{69B03ED6-DD02-4C91-802E-758C1CA53EB1}">
        <Attribution userId="S::radhia.kacem@st.com::29f2eca4-ee7e-4c55-bc1f-19958fa08b11" userName="Radhia KACEM" userProvider="AD"/>
        <Anchor>
          <Comment id="{1B4155C8-9A29-4A97-8BBC-35D270C4152F}"/>
        </Anchor>
        <SetTitle title="@Aymen BOUATTAY please confirm if OK for you. If yes, I recommend o add such indication in the recommendation table"/>
      </Event>
    </History>
  </Task>
</Task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39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23</xdr:row>
      <xdr:rowOff>180975</xdr:rowOff>
    </xdr:from>
    <xdr:to>
      <xdr:col>19</xdr:col>
      <xdr:colOff>47624</xdr:colOff>
      <xdr:row>25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68C6BB-DBC3-4FA6-917E-2DA2F1E83CBC}"/>
            </a:ext>
          </a:extLst>
        </xdr:cNvPr>
        <xdr:cNvSpPr txBox="1"/>
      </xdr:nvSpPr>
      <xdr:spPr>
        <a:xfrm>
          <a:off x="8455024" y="4924425"/>
          <a:ext cx="8020050" cy="3397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GD32</a:t>
          </a:r>
          <a:r>
            <a:rPr lang="en-US" sz="1100" baseline="0"/>
            <a:t> MSC project can't be done due to hardware limitation , inexistance of compatible otg cable to plug USB mass storage!</a:t>
          </a:r>
          <a:endParaRPr lang="en-US" sz="1100"/>
        </a:p>
      </xdr:txBody>
    </xdr:sp>
    <xdr:clientData/>
  </xdr:twoCellAnchor>
  <xdr:twoCellAnchor>
    <xdr:from>
      <xdr:col>10</xdr:col>
      <xdr:colOff>276225</xdr:colOff>
      <xdr:row>26</xdr:row>
      <xdr:rowOff>166687</xdr:rowOff>
    </xdr:from>
    <xdr:to>
      <xdr:col>15</xdr:col>
      <xdr:colOff>238125</xdr:colOff>
      <xdr:row>40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F4678-C506-4576-8E8C-6E11271F1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547687</xdr:colOff>
      <xdr:row>39</xdr:row>
      <xdr:rowOff>176212</xdr:rowOff>
    </xdr:from>
    <xdr:to>
      <xdr:col>14</xdr:col>
      <xdr:colOff>357187</xdr:colOff>
      <xdr:row>53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639BE-0433-4212-969A-DF257653F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328612</xdr:colOff>
      <xdr:row>43</xdr:row>
      <xdr:rowOff>185737</xdr:rowOff>
    </xdr:from>
    <xdr:to>
      <xdr:col>14</xdr:col>
      <xdr:colOff>747712</xdr:colOff>
      <xdr:row>58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A0D0D9-D6C8-483B-87A0-6D738239C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538162</xdr:colOff>
      <xdr:row>50</xdr:row>
      <xdr:rowOff>71437</xdr:rowOff>
    </xdr:from>
    <xdr:to>
      <xdr:col>14</xdr:col>
      <xdr:colOff>957262</xdr:colOff>
      <xdr:row>64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892DD6-EBCD-4344-AB03-6CA725577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</xdr:colOff>
      <xdr:row>54</xdr:row>
      <xdr:rowOff>157162</xdr:rowOff>
    </xdr:from>
    <xdr:to>
      <xdr:col>15</xdr:col>
      <xdr:colOff>0</xdr:colOff>
      <xdr:row>69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5D07A5-66B3-41BC-8D59-621928DF6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1263423</xdr:colOff>
      <xdr:row>54</xdr:row>
      <xdr:rowOff>185736</xdr:rowOff>
    </xdr:from>
    <xdr:to>
      <xdr:col>23</xdr:col>
      <xdr:colOff>242887</xdr:colOff>
      <xdr:row>69</xdr:row>
      <xdr:rowOff>79601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57414A90-3CF1-49CC-987D-4392E5037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448354</xdr:colOff>
      <xdr:row>71</xdr:row>
      <xdr:rowOff>55108</xdr:rowOff>
    </xdr:from>
    <xdr:to>
      <xdr:col>14</xdr:col>
      <xdr:colOff>867455</xdr:colOff>
      <xdr:row>85</xdr:row>
      <xdr:rowOff>8844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FD6AB9D4-F02A-4C0B-A9F4-2E3103AD2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489072</xdr:colOff>
      <xdr:row>85</xdr:row>
      <xdr:rowOff>80046</xdr:rowOff>
    </xdr:from>
    <xdr:to>
      <xdr:col>14</xdr:col>
      <xdr:colOff>893885</xdr:colOff>
      <xdr:row>98</xdr:row>
      <xdr:rowOff>139761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7F383055-9E76-4C51-A666-4DD4F6B8D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231589</xdr:colOff>
      <xdr:row>99</xdr:row>
      <xdr:rowOff>104589</xdr:rowOff>
    </xdr:from>
    <xdr:to>
      <xdr:col>14</xdr:col>
      <xdr:colOff>266356</xdr:colOff>
      <xdr:row>110</xdr:row>
      <xdr:rowOff>71807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6107CC66-F312-457A-8AD2-811E293C7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392906</xdr:colOff>
      <xdr:row>47</xdr:row>
      <xdr:rowOff>180792</xdr:rowOff>
    </xdr:from>
    <xdr:to>
      <xdr:col>13</xdr:col>
      <xdr:colOff>431372</xdr:colOff>
      <xdr:row>58</xdr:row>
      <xdr:rowOff>167237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FA876063-79F6-45E1-8095-D67BADEBF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143467</xdr:colOff>
      <xdr:row>29</xdr:row>
      <xdr:rowOff>169693</xdr:rowOff>
    </xdr:from>
    <xdr:to>
      <xdr:col>14</xdr:col>
      <xdr:colOff>510638</xdr:colOff>
      <xdr:row>42</xdr:row>
      <xdr:rowOff>174456</xdr:rowOff>
    </xdr:to>
    <xdr:graphicFrame macro="">
      <xdr:nvGraphicFramePr>
        <xdr:cNvPr id="13" name="Chart 11">
          <a:extLst>
            <a:ext uri="{FF2B5EF4-FFF2-40B4-BE49-F238E27FC236}">
              <a16:creationId xmlns:a16="http://schemas.microsoft.com/office/drawing/2014/main" id="{AE35521E-B741-44F3-BF05-47FE691D7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566920</xdr:colOff>
      <xdr:row>39</xdr:row>
      <xdr:rowOff>144157</xdr:rowOff>
    </xdr:from>
    <xdr:to>
      <xdr:col>14</xdr:col>
      <xdr:colOff>971733</xdr:colOff>
      <xdr:row>52</xdr:row>
      <xdr:rowOff>222188</xdr:rowOff>
    </xdr:to>
    <xdr:graphicFrame macro="">
      <xdr:nvGraphicFramePr>
        <xdr:cNvPr id="14" name="Chart 12">
          <a:extLst>
            <a:ext uri="{FF2B5EF4-FFF2-40B4-BE49-F238E27FC236}">
              <a16:creationId xmlns:a16="http://schemas.microsoft.com/office/drawing/2014/main" id="{59800BB5-55F3-45C7-8F04-636148417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347112</xdr:colOff>
      <xdr:row>35</xdr:row>
      <xdr:rowOff>61728</xdr:rowOff>
    </xdr:from>
    <xdr:to>
      <xdr:col>14</xdr:col>
      <xdr:colOff>138295</xdr:colOff>
      <xdr:row>48</xdr:row>
      <xdr:rowOff>121443</xdr:rowOff>
    </xdr:to>
    <xdr:graphicFrame macro="">
      <xdr:nvGraphicFramePr>
        <xdr:cNvPr id="15" name="Chart 13">
          <a:extLst>
            <a:ext uri="{FF2B5EF4-FFF2-40B4-BE49-F238E27FC236}">
              <a16:creationId xmlns:a16="http://schemas.microsoft.com/office/drawing/2014/main" id="{106CEF02-9C47-4DEB-AE54-1C27F64B6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8242</xdr:colOff>
      <xdr:row>34</xdr:row>
      <xdr:rowOff>125839</xdr:rowOff>
    </xdr:from>
    <xdr:to>
      <xdr:col>14</xdr:col>
      <xdr:colOff>413055</xdr:colOff>
      <xdr:row>47</xdr:row>
      <xdr:rowOff>167237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ECED43C1-0D6A-49D5-97A6-6C56EDE74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508001</xdr:colOff>
      <xdr:row>72</xdr:row>
      <xdr:rowOff>14941</xdr:rowOff>
    </xdr:from>
    <xdr:to>
      <xdr:col>6</xdr:col>
      <xdr:colOff>1196043</xdr:colOff>
      <xdr:row>85</xdr:row>
      <xdr:rowOff>155441</xdr:rowOff>
    </xdr:to>
    <xdr:graphicFrame macro="">
      <xdr:nvGraphicFramePr>
        <xdr:cNvPr id="17" name="Chart 10">
          <a:extLst>
            <a:ext uri="{FF2B5EF4-FFF2-40B4-BE49-F238E27FC236}">
              <a16:creationId xmlns:a16="http://schemas.microsoft.com/office/drawing/2014/main" id="{BE574E3A-70B7-44B6-BCE1-B26F94BE2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1233767</xdr:colOff>
      <xdr:row>32</xdr:row>
      <xdr:rowOff>181535</xdr:rowOff>
    </xdr:from>
    <xdr:to>
      <xdr:col>12</xdr:col>
      <xdr:colOff>83404</xdr:colOff>
      <xdr:row>49</xdr:row>
      <xdr:rowOff>86285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97625B1-40FD-4A55-B933-000040F2A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33618</xdr:colOff>
      <xdr:row>33</xdr:row>
      <xdr:rowOff>100853</xdr:rowOff>
    </xdr:from>
    <xdr:to>
      <xdr:col>12</xdr:col>
      <xdr:colOff>582706</xdr:colOff>
      <xdr:row>40</xdr:row>
      <xdr:rowOff>44824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35CB50D-2905-6390-563B-398F2181910B}"/>
            </a:ext>
          </a:extLst>
        </xdr:cNvPr>
        <xdr:cNvSpPr txBox="1"/>
      </xdr:nvSpPr>
      <xdr:spPr>
        <a:xfrm>
          <a:off x="11900647" y="7474324"/>
          <a:ext cx="4863353" cy="1434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Interpretation:</a:t>
          </a:r>
          <a:endParaRPr lang="en-US" sz="1100">
            <a:solidFill>
              <a:srgbClr val="FF0000"/>
            </a:solidFill>
          </a:endParaRPr>
        </a:p>
        <a:p>
          <a:r>
            <a:rPr lang="en-US" sz="1100"/>
            <a:t> Before RCC footprint removal, Nucleo_stm32U5 is larger for HID and MSC, while MCXN9 is larger for CDC.</a:t>
          </a:r>
        </a:p>
        <a:p>
          <a:r>
            <a:rPr lang="en-US" sz="1100"/>
            <a:t> After removing RCC, STM32 footprint drops a lot, especially for CDC and HID.</a:t>
          </a:r>
        </a:p>
        <a:p>
          <a:r>
            <a:rPr lang="en-US" sz="1100"/>
            <a:t> MSC stays the biggest class in both cases, with only a small gap between MCXN9 and STM32.</a:t>
          </a:r>
        </a:p>
        <a:p>
          <a:r>
            <a:rPr lang="en-US" sz="1100"/>
            <a:t> Overall, RCC removal makes STM32 more competitive, and in HID + CDC it becomes smaller than or close to MCXN9.</a:t>
          </a:r>
        </a:p>
      </xdr:txBody>
    </xdr:sp>
    <xdr:clientData/>
  </xdr:twoCellAnchor>
  <xdr:oneCellAnchor>
    <xdr:from>
      <xdr:col>9</xdr:col>
      <xdr:colOff>784412</xdr:colOff>
      <xdr:row>36</xdr:row>
      <xdr:rowOff>201706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D1D7F52-C26F-B2DF-1506-326EC6ADE395}"/>
            </a:ext>
          </a:extLst>
        </xdr:cNvPr>
        <xdr:cNvSpPr txBox="1"/>
      </xdr:nvSpPr>
      <xdr:spPr>
        <a:xfrm>
          <a:off x="12651441" y="82139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13</xdr:col>
      <xdr:colOff>44822</xdr:colOff>
      <xdr:row>28</xdr:row>
      <xdr:rowOff>11206</xdr:rowOff>
    </xdr:from>
    <xdr:to>
      <xdr:col>18</xdr:col>
      <xdr:colOff>605117</xdr:colOff>
      <xdr:row>40</xdr:row>
      <xdr:rowOff>33618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DE0993A-5419-F949-623A-82C87262D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10585</xdr:colOff>
      <xdr:row>1</xdr:row>
      <xdr:rowOff>10583</xdr:rowOff>
    </xdr:from>
    <xdr:to>
      <xdr:col>12</xdr:col>
      <xdr:colOff>571500</xdr:colOff>
      <xdr:row>27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6256E-09F1-F318-EE98-BF6D55514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21166</xdr:colOff>
      <xdr:row>0</xdr:row>
      <xdr:rowOff>232833</xdr:rowOff>
    </xdr:from>
    <xdr:to>
      <xdr:col>22</xdr:col>
      <xdr:colOff>10582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E183A9-2809-C811-5DA8-4D7B5EB6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326571</xdr:colOff>
      <xdr:row>20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719B8-332B-41A5-9C64-7A9F5F395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23</xdr:row>
      <xdr:rowOff>180975</xdr:rowOff>
    </xdr:from>
    <xdr:to>
      <xdr:col>19</xdr:col>
      <xdr:colOff>47624</xdr:colOff>
      <xdr:row>25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FFA654-7396-F87F-32F6-7D251E0399D0}"/>
            </a:ext>
          </a:extLst>
        </xdr:cNvPr>
        <xdr:cNvSpPr txBox="1"/>
      </xdr:nvSpPr>
      <xdr:spPr>
        <a:xfrm>
          <a:off x="9353549" y="4981575"/>
          <a:ext cx="7800975" cy="3524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GD32</a:t>
          </a:r>
          <a:r>
            <a:rPr lang="en-US" sz="1100" baseline="0"/>
            <a:t> MSC project can't be done due to hardware limitation , inexistance of compatible otg cable to plug USB mass storage!</a:t>
          </a:r>
          <a:endParaRPr lang="en-US" sz="1100"/>
        </a:p>
      </xdr:txBody>
    </xdr:sp>
    <xdr:clientData/>
  </xdr:twoCellAnchor>
  <xdr:twoCellAnchor>
    <xdr:from>
      <xdr:col>10</xdr:col>
      <xdr:colOff>276225</xdr:colOff>
      <xdr:row>26</xdr:row>
      <xdr:rowOff>166687</xdr:rowOff>
    </xdr:from>
    <xdr:to>
      <xdr:col>15</xdr:col>
      <xdr:colOff>238125</xdr:colOff>
      <xdr:row>40</xdr:row>
      <xdr:rowOff>33337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FA609A84-BE62-990A-58ED-19D7F6D25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547687</xdr:colOff>
      <xdr:row>39</xdr:row>
      <xdr:rowOff>176212</xdr:rowOff>
    </xdr:from>
    <xdr:to>
      <xdr:col>14</xdr:col>
      <xdr:colOff>357187</xdr:colOff>
      <xdr:row>53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D6493A-1091-8FDC-1D7B-5408BC21B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328612</xdr:colOff>
      <xdr:row>43</xdr:row>
      <xdr:rowOff>185737</xdr:rowOff>
    </xdr:from>
    <xdr:to>
      <xdr:col>14</xdr:col>
      <xdr:colOff>747712</xdr:colOff>
      <xdr:row>58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BE3010-2497-AD75-889D-A4444E0F2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538162</xdr:colOff>
      <xdr:row>50</xdr:row>
      <xdr:rowOff>71437</xdr:rowOff>
    </xdr:from>
    <xdr:to>
      <xdr:col>14</xdr:col>
      <xdr:colOff>957262</xdr:colOff>
      <xdr:row>64</xdr:row>
      <xdr:rowOff>147637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E79F31-4181-DD51-6EC9-B3E9D9D14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</xdr:colOff>
      <xdr:row>54</xdr:row>
      <xdr:rowOff>157162</xdr:rowOff>
    </xdr:from>
    <xdr:to>
      <xdr:col>15</xdr:col>
      <xdr:colOff>0</xdr:colOff>
      <xdr:row>69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7F64B6-3ADA-FE12-5AA3-D5BAACA5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1263423</xdr:colOff>
      <xdr:row>54</xdr:row>
      <xdr:rowOff>185736</xdr:rowOff>
    </xdr:from>
    <xdr:to>
      <xdr:col>23</xdr:col>
      <xdr:colOff>242887</xdr:colOff>
      <xdr:row>69</xdr:row>
      <xdr:rowOff>79601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B83E6A46-8C7A-980C-8715-1E872C2B3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448354</xdr:colOff>
      <xdr:row>71</xdr:row>
      <xdr:rowOff>55108</xdr:rowOff>
    </xdr:from>
    <xdr:to>
      <xdr:col>14</xdr:col>
      <xdr:colOff>867455</xdr:colOff>
      <xdr:row>85</xdr:row>
      <xdr:rowOff>8844</xdr:rowOff>
    </xdr:to>
    <xdr:graphicFrame macro="">
      <xdr:nvGraphicFramePr>
        <xdr:cNvPr id="17" name="Chart 10">
          <a:extLst>
            <a:ext uri="{FF2B5EF4-FFF2-40B4-BE49-F238E27FC236}">
              <a16:creationId xmlns:a16="http://schemas.microsoft.com/office/drawing/2014/main" id="{44057B77-4DAD-78B6-18A0-060EF76C1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489072</xdr:colOff>
      <xdr:row>85</xdr:row>
      <xdr:rowOff>80046</xdr:rowOff>
    </xdr:from>
    <xdr:to>
      <xdr:col>14</xdr:col>
      <xdr:colOff>893885</xdr:colOff>
      <xdr:row>98</xdr:row>
      <xdr:rowOff>139761</xdr:rowOff>
    </xdr:to>
    <xdr:graphicFrame macro="">
      <xdr:nvGraphicFramePr>
        <xdr:cNvPr id="26" name="Chart 8">
          <a:extLst>
            <a:ext uri="{FF2B5EF4-FFF2-40B4-BE49-F238E27FC236}">
              <a16:creationId xmlns:a16="http://schemas.microsoft.com/office/drawing/2014/main" id="{415722EC-FE4E-A66C-AF0C-2AB05EADE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489072</xdr:colOff>
      <xdr:row>99</xdr:row>
      <xdr:rowOff>43411</xdr:rowOff>
    </xdr:from>
    <xdr:to>
      <xdr:col>14</xdr:col>
      <xdr:colOff>893885</xdr:colOff>
      <xdr:row>112</xdr:row>
      <xdr:rowOff>176395</xdr:rowOff>
    </xdr:to>
    <xdr:graphicFrame macro="">
      <xdr:nvGraphicFramePr>
        <xdr:cNvPr id="27" name="Chart 9">
          <a:extLst>
            <a:ext uri="{FF2B5EF4-FFF2-40B4-BE49-F238E27FC236}">
              <a16:creationId xmlns:a16="http://schemas.microsoft.com/office/drawing/2014/main" id="{6D465DCB-A036-D382-8A26-8F6444EF3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392906</xdr:colOff>
      <xdr:row>47</xdr:row>
      <xdr:rowOff>180792</xdr:rowOff>
    </xdr:from>
    <xdr:to>
      <xdr:col>13</xdr:col>
      <xdr:colOff>431372</xdr:colOff>
      <xdr:row>58</xdr:row>
      <xdr:rowOff>167237</xdr:rowOff>
    </xdr:to>
    <xdr:graphicFrame macro="">
      <xdr:nvGraphicFramePr>
        <xdr:cNvPr id="43" name="Chart 10">
          <a:extLst>
            <a:ext uri="{FF2B5EF4-FFF2-40B4-BE49-F238E27FC236}">
              <a16:creationId xmlns:a16="http://schemas.microsoft.com/office/drawing/2014/main" id="{226CBFD2-5D31-FDE6-6C12-E687936F8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255526</xdr:colOff>
      <xdr:row>29</xdr:row>
      <xdr:rowOff>80046</xdr:rowOff>
    </xdr:from>
    <xdr:to>
      <xdr:col>13</xdr:col>
      <xdr:colOff>293992</xdr:colOff>
      <xdr:row>42</xdr:row>
      <xdr:rowOff>84809</xdr:rowOff>
    </xdr:to>
    <xdr:graphicFrame macro="">
      <xdr:nvGraphicFramePr>
        <xdr:cNvPr id="45" name="Chart 11">
          <a:extLst>
            <a:ext uri="{FF2B5EF4-FFF2-40B4-BE49-F238E27FC236}">
              <a16:creationId xmlns:a16="http://schemas.microsoft.com/office/drawing/2014/main" id="{0FAEC535-085D-F44B-572D-A1B229FFE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566920</xdr:colOff>
      <xdr:row>39</xdr:row>
      <xdr:rowOff>144157</xdr:rowOff>
    </xdr:from>
    <xdr:to>
      <xdr:col>14</xdr:col>
      <xdr:colOff>971733</xdr:colOff>
      <xdr:row>52</xdr:row>
      <xdr:rowOff>222188</xdr:rowOff>
    </xdr:to>
    <xdr:graphicFrame macro="">
      <xdr:nvGraphicFramePr>
        <xdr:cNvPr id="63" name="Chart 12">
          <a:extLst>
            <a:ext uri="{FF2B5EF4-FFF2-40B4-BE49-F238E27FC236}">
              <a16:creationId xmlns:a16="http://schemas.microsoft.com/office/drawing/2014/main" id="{15020A6E-CFD3-8F99-FD53-2F80B7F39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347112</xdr:colOff>
      <xdr:row>35</xdr:row>
      <xdr:rowOff>61728</xdr:rowOff>
    </xdr:from>
    <xdr:to>
      <xdr:col>14</xdr:col>
      <xdr:colOff>138295</xdr:colOff>
      <xdr:row>48</xdr:row>
      <xdr:rowOff>121443</xdr:rowOff>
    </xdr:to>
    <xdr:graphicFrame macro="">
      <xdr:nvGraphicFramePr>
        <xdr:cNvPr id="65" name="Chart 13">
          <a:extLst>
            <a:ext uri="{FF2B5EF4-FFF2-40B4-BE49-F238E27FC236}">
              <a16:creationId xmlns:a16="http://schemas.microsoft.com/office/drawing/2014/main" id="{05CE2057-10AE-9ABE-B97C-4F7AF2332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8242</xdr:colOff>
      <xdr:row>34</xdr:row>
      <xdr:rowOff>125839</xdr:rowOff>
    </xdr:from>
    <xdr:to>
      <xdr:col>14</xdr:col>
      <xdr:colOff>413055</xdr:colOff>
      <xdr:row>47</xdr:row>
      <xdr:rowOff>167237</xdr:rowOff>
    </xdr:to>
    <xdr:graphicFrame macro="">
      <xdr:nvGraphicFramePr>
        <xdr:cNvPr id="67" name="Chart 16">
          <a:extLst>
            <a:ext uri="{FF2B5EF4-FFF2-40B4-BE49-F238E27FC236}">
              <a16:creationId xmlns:a16="http://schemas.microsoft.com/office/drawing/2014/main" id="{F46E9EC3-C832-53AC-9802-E0AAB2D80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838200</xdr:colOff>
      <xdr:row>0</xdr:row>
      <xdr:rowOff>114300</xdr:rowOff>
    </xdr:from>
    <xdr:to>
      <xdr:col>14</xdr:col>
      <xdr:colOff>4000500</xdr:colOff>
      <xdr:row>1</xdr:row>
      <xdr:rowOff>323850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70E877-4F8A-623F-36BA-6E7B281046F2}"/>
            </a:ext>
          </a:extLst>
        </xdr:cNvPr>
        <xdr:cNvSpPr txBox="1"/>
      </xdr:nvSpPr>
      <xdr:spPr>
        <a:xfrm>
          <a:off x="11649075" y="114300"/>
          <a:ext cx="88582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finding: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STM32 is consistently ~9,600–10,150 bytes larger in code across all scenarios. The overhead is a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fixed platform cost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it does not grow with scheduling complexity. RAM usage is nearly identical (+2%).</a:t>
          </a:r>
          <a:endParaRPr lang="en-US" sz="1100"/>
        </a:p>
      </xdr:txBody>
    </xdr:sp>
    <xdr:clientData/>
  </xdr:twoCellAnchor>
  <xdr:twoCellAnchor>
    <xdr:from>
      <xdr:col>10</xdr:col>
      <xdr:colOff>876300</xdr:colOff>
      <xdr:row>2</xdr:row>
      <xdr:rowOff>200025</xdr:rowOff>
    </xdr:from>
    <xdr:to>
      <xdr:col>14</xdr:col>
      <xdr:colOff>3857625</xdr:colOff>
      <xdr:row>4</xdr:row>
      <xdr:rowOff>95250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7700964-7CFC-5F29-F7E3-A743CD14C108}"/>
            </a:ext>
          </a:extLst>
        </xdr:cNvPr>
        <xdr:cNvSpPr txBox="1"/>
      </xdr:nvSpPr>
      <xdr:spPr>
        <a:xfrm>
          <a:off x="11687175" y="790575"/>
          <a:ext cx="8677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Per-Module Comparison (RO Code)</a:t>
          </a:r>
        </a:p>
      </xdr:txBody>
    </xdr:sp>
    <xdr:clientData/>
  </xdr:twoCellAnchor>
  <xdr:twoCellAnchor>
    <xdr:from>
      <xdr:col>10</xdr:col>
      <xdr:colOff>0</xdr:colOff>
      <xdr:row>14</xdr:row>
      <xdr:rowOff>409575</xdr:rowOff>
    </xdr:from>
    <xdr:to>
      <xdr:col>13</xdr:col>
      <xdr:colOff>1171575</xdr:colOff>
      <xdr:row>16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F2534D-0D9D-4FBA-885B-4F501C4A72E8}"/>
            </a:ext>
          </a:extLst>
        </xdr:cNvPr>
        <xdr:cNvSpPr txBox="1"/>
      </xdr:nvSpPr>
      <xdr:spPr>
        <a:xfrm>
          <a:off x="10810875" y="3543300"/>
          <a:ext cx="8439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values are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byte-for-byte identical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between STM32 and GD32. The kernel contributes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zero asymmetry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/>
        </a:p>
      </xdr:txBody>
    </xdr:sp>
    <xdr:clientData/>
  </xdr:twoCellAnchor>
  <xdr:twoCellAnchor>
    <xdr:from>
      <xdr:col>10</xdr:col>
      <xdr:colOff>0</xdr:colOff>
      <xdr:row>30</xdr:row>
      <xdr:rowOff>209549</xdr:rowOff>
    </xdr:from>
    <xdr:to>
      <xdr:col>14</xdr:col>
      <xdr:colOff>2981325</xdr:colOff>
      <xdr:row>54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571174B-020F-42DC-B928-59A7CC4EA681}"/>
            </a:ext>
          </a:extLst>
        </xdr:cNvPr>
        <xdr:cNvSpPr txBox="1"/>
      </xdr:nvSpPr>
      <xdr:spPr>
        <a:xfrm>
          <a:off x="10810875" y="6896099"/>
          <a:ext cx="11439525" cy="4705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Root Cause — Why STM32 Is Worse</a:t>
          </a: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HAL RCC Clock Management (+6,740 bytes)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STM32U5 HAL clock driver manages a complex tree: MSI, HSI16, HSE, PLL1/2/3, AHB/APB prescalers, and per-peripheral clock muxing. The benchmark only needs "set 160 MHz from HSI16 × PLL" but the linked code includes the full generic configuration engine.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GD32's SPL achieves the same result with thin register-access wrappers (464 bytes total).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the single largest contributor — 66% of the total delta.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 HAL UART (+1,064 bytes)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STM32 HAL UART supports DMA, FIFO, advanced error handling, reception modes, and frame-level configuration. The benchmark uses only blocking single-byte transmit. GD32's register-level USART driver (572 bytes) is minimal and sufficient.</a:t>
          </a: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 TIM6 HAL Timebase (+1,136 bytes — unique to STM32)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STM32 uses a dedicated TIM6 hardware timer for HAL_GetTick() because FreeRTOS owns SysTick. This requires stm32u5xx_hal_tim.o + stm32u5xx_hal_tim_ex.o + stm32u5xx_hal_timebase_tim.o. GD32 has no equivalent requirement — there is no separate HAL tick source.</a:t>
          </a: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 STM32 Initialization Ceremony (+544 bytes)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STM32 main.c performs multiple HAL-based init steps: HAL_Init(), SystemPower_Config(), MX_ICACHE_Init(), SystemClock_Config(), plus the HAL MSP layer (stm32u5xx_hal_msp.o). GD32 main calls only board_init() (56 bytes).</a:t>
          </a: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 Startup Vector Table (+272 bytes)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STM32U575 has more interrupt vectors than GD32E507. This is a fixed hardware cost.</a:t>
          </a: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6 Summary Waterfall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STM32 total overhead vs GD32: ~+9,600 to +10,150 bytes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HAL RCC (clock)          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+6,740  (66%)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TIM6 timebase               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+1,136  (11%)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HAL UART                         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+1,064  (10%)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App/main ceremony   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+544    ( 5%)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GPIO + PWR + misc HAL  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+644    ( 6%)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Startup vectors                 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+272    ( 3%)</a:t>
          </a:r>
          <a:endParaRPr lang="en-US" sz="1100" b="1" i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br>
            <a:rPr lang="en-US" sz="1800"/>
          </a:br>
          <a:endParaRPr lang="en-US" sz="18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901700</xdr:colOff>
      <xdr:row>1</xdr:row>
      <xdr:rowOff>12700</xdr:rowOff>
    </xdr:from>
    <xdr:to>
      <xdr:col>15</xdr:col>
      <xdr:colOff>180975</xdr:colOff>
      <xdr:row>15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8A5A5-1099-4C13-DBF3-632B9492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196850"/>
          <a:ext cx="5715000" cy="2857500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16</xdr:row>
      <xdr:rowOff>150812</xdr:rowOff>
    </xdr:from>
    <xdr:to>
      <xdr:col>15</xdr:col>
      <xdr:colOff>276225</xdr:colOff>
      <xdr:row>31</xdr:row>
      <xdr:rowOff>46037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5E0F41-3D36-A4C7-09AC-61BE4DB92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1000125</xdr:colOff>
      <xdr:row>32</xdr:row>
      <xdr:rowOff>19050</xdr:rowOff>
    </xdr:from>
    <xdr:to>
      <xdr:col>3</xdr:col>
      <xdr:colOff>844550</xdr:colOff>
      <xdr:row>42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76BD16-6340-6522-50B9-AB4566A58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44</xdr:row>
      <xdr:rowOff>204787</xdr:rowOff>
    </xdr:from>
    <xdr:to>
      <xdr:col>3</xdr:col>
      <xdr:colOff>866775</xdr:colOff>
      <xdr:row>59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7C5DD-A3D1-690D-0CC6-1F0377937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771525</xdr:colOff>
      <xdr:row>43</xdr:row>
      <xdr:rowOff>185737</xdr:rowOff>
    </xdr:from>
    <xdr:to>
      <xdr:col>11</xdr:col>
      <xdr:colOff>190500</xdr:colOff>
      <xdr:row>58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583C6-D425-50D8-53F7-97E80432F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15</xdr:row>
      <xdr:rowOff>138111</xdr:rowOff>
    </xdr:from>
    <xdr:to>
      <xdr:col>14</xdr:col>
      <xdr:colOff>295275</xdr:colOff>
      <xdr:row>38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B9594-F556-EB7B-B4C6-D50AE86E6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695325</xdr:colOff>
      <xdr:row>72</xdr:row>
      <xdr:rowOff>123825</xdr:rowOff>
    </xdr:from>
    <xdr:to>
      <xdr:col>21</xdr:col>
      <xdr:colOff>142875</xdr:colOff>
      <xdr:row>87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DC8E52-AD04-9234-2C80-34F63CC3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030325"/>
          <a:ext cx="1000125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638175</xdr:colOff>
      <xdr:row>87</xdr:row>
      <xdr:rowOff>76200</xdr:rowOff>
    </xdr:from>
    <xdr:to>
      <xdr:col>21</xdr:col>
      <xdr:colOff>85725</xdr:colOff>
      <xdr:row>102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4357D3-868B-41C6-F74B-6A100B86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6840200"/>
          <a:ext cx="10001250" cy="28575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103</xdr:row>
      <xdr:rowOff>85724</xdr:rowOff>
    </xdr:from>
    <xdr:to>
      <xdr:col>16</xdr:col>
      <xdr:colOff>271463</xdr:colOff>
      <xdr:row>116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90533E-48E3-0EC1-A79F-ACCC98897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19897724"/>
          <a:ext cx="8501063" cy="242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jazi2s\OneDrive%20-%20STMicroelectronics\Documents\Fares\low_footprint_profiles_LOCAL.xlsx" TargetMode="External"/><Relationship Id="rId1" Type="http://schemas.openxmlformats.org/officeDocument/2006/relationships/externalLinkPath" Target="file:///C:\Users\eljazi2s\OneDrive%20-%20STMicroelectronics\Documents\Fares\low_footprint_profiles_LO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w_footprint_profiles"/>
      <sheetName val="USBX_ThreadX_Footprint"/>
      <sheetName val="Initialization Execution time "/>
      <sheetName val="Renesas"/>
      <sheetName val="Low_footprint_macro_values"/>
      <sheetName val="Nxp vs StM32U5"/>
      <sheetName val="ST vs NXP"/>
      <sheetName val="Nxp vs StM32U5 (2)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 t="str">
            <v>ROM w/ RCC config</v>
          </cell>
          <cell r="D27" t="str">
            <v>ROM w/o RCC config</v>
          </cell>
        </row>
        <row r="28">
          <cell r="A28" t="str">
            <v>HID</v>
          </cell>
          <cell r="B28" t="str">
            <v>STM32U575</v>
          </cell>
          <cell r="C28">
            <v>16377</v>
          </cell>
          <cell r="D28">
            <v>11817</v>
          </cell>
        </row>
        <row r="29">
          <cell r="A29"/>
          <cell r="B29" t="str">
            <v>MCX-N9</v>
          </cell>
          <cell r="C29">
            <v>13728</v>
          </cell>
          <cell r="D29">
            <v>12282</v>
          </cell>
        </row>
        <row r="30">
          <cell r="A30" t="str">
            <v>CDC</v>
          </cell>
          <cell r="B30" t="str">
            <v>STM32U575</v>
          </cell>
          <cell r="C30">
            <v>17013</v>
          </cell>
          <cell r="D30">
            <v>12453</v>
          </cell>
        </row>
        <row r="31">
          <cell r="A31"/>
          <cell r="B31" t="str">
            <v>MCX-N9</v>
          </cell>
          <cell r="C31">
            <v>13549</v>
          </cell>
          <cell r="D31">
            <v>12087</v>
          </cell>
        </row>
        <row r="32">
          <cell r="A32" t="str">
            <v>MSC</v>
          </cell>
          <cell r="B32" t="str">
            <v>STM32U575</v>
          </cell>
          <cell r="C32">
            <v>35802</v>
          </cell>
          <cell r="D32">
            <v>28618</v>
          </cell>
        </row>
        <row r="33">
          <cell r="A33"/>
          <cell r="B33" t="str">
            <v>MCX-N9</v>
          </cell>
          <cell r="C33">
            <v>28363</v>
          </cell>
          <cell r="D33">
            <v>26770</v>
          </cell>
        </row>
      </sheetData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ymen BOUATTAY" id="{DF4D0844-BED3-4660-8A60-FEEDC9EAF55E}" userId="aymen.bouattay@st.com" providerId="PeoplePicker"/>
  <person displayName="Fares DKHILI" id="{DBF4124C-DA79-4C51-B14A-73FAD731F3B7}" userId="S::fares.dkhili@st.com::79059fb8-8133-4f23-a8ee-51aeed562346" providerId="AD"/>
  <person displayName="Radhia KACEM" id="{29A821CE-6C38-4A07-9AC9-AD06321AB741}" userId="S::radhia.kacem@st.com::29f2eca4-ee7e-4c55-bc1f-19958fa08b11" providerId="AD"/>
  <person displayName="Mohamed amine Cherni" id="{130BC1C6-9057-4757-A404-1289570AECD2}" userId="S::mohamedamine.cherni-ext@st.com::15bbb148-ecfb-40b0-b6d5-268cee9a557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4" dT="2025-11-24T19:27:27.71" personId="{29A821CE-6C38-4A07-9AC9-AD06321AB741}" id="{F5999091-1B88-4147-A790-132200C9BEA3}" done="1">
    <text>What about audio &amp; video applications?</text>
  </threadedComment>
  <threadedComment ref="T4" dT="2025-11-25T07:51:39.38" personId="{130BC1C6-9057-4757-A404-1289570AECD2}" id="{7A964F50-13F8-46A6-9D1B-2781478E67F0}" parentId="{F5999091-1B88-4147-A790-132200C9BEA3}">
    <text>The initial approach is to work on the existing Cube2 examples. Currently, there are no developed examples for audio and video applications.</text>
  </threadedComment>
  <threadedComment ref="T4" dT="2025-11-25T08:00:07.24" personId="{29A821CE-6C38-4A07-9AC9-AD06321AB741}" id="{57724DFA-0C95-4819-AFF3-566CE7C05010}" parentId="{F5999091-1B88-4147-A790-132200C9BEA3}">
    <text xml:space="preserve">Indeed, agreement is to consider as well validation examples, and for USBX we have validation examples for audio and video. </text>
  </threadedComment>
  <threadedComment ref="T4" dT="2025-12-04T10:50:10.34" personId="{29A821CE-6C38-4A07-9AC9-AD06321AB741}" id="{DD716599-EB80-4DE4-A924-837417BC6EE3}" parentId="{F5999091-1B88-4147-A790-132200C9BEA3}">
    <text>feedback implemented.</text>
  </threadedComment>
  <threadedComment ref="C86" dT="2025-11-24T19:23:52.12" personId="{29A821CE-6C38-4A07-9AC9-AD06321AB741}" id="{7208F77F-A8E5-4263-98C5-8AC770E633DB}">
    <text>Any recommendation on the safety margin?</text>
  </threadedComment>
  <threadedComment ref="C86" dT="2025-11-25T07:55:43.41" personId="{130BC1C6-9057-4757-A404-1289570AECD2}" id="{F063D391-1A86-4DD6-B3A2-BFAAB35A1730}" parentId="{7208F77F-A8E5-4263-98C5-8AC770E633DB}">
    <text>We have applied safety margins on the thread stack sizes and buffer sizes. 
I recommend a 10% margin on USBX_DEVICE_MEMORY_STACK_SIZE (to be confirmed with Aymen).</text>
  </threadedComment>
  <threadedComment ref="C86" dT="2025-12-04T10:52:09.66" personId="{29A821CE-6C38-4A07-9AC9-AD06321AB741}" id="{1B4155C8-9A29-4A97-8BBC-35D270C4152F}" parentId="{7208F77F-A8E5-4263-98C5-8AC770E633DB}">
    <text xml:space="preserve">@Aymen BOUATTAY please confirm if OK for you. If yes, I recommend o add such indication in the recommendation table </text>
    <mentions>
      <mention mentionpersonId="{DF4D0844-BED3-4660-8A60-FEEDC9EAF55E}" mentionId="{EA1B4E89-659A-4CEF-9D87-CF1E58D9960D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6-04-08T09:39:32.49" personId="{DBF4124C-DA79-4C51-B14A-73FAD731F3B7}" id="{75C38A8B-D1DA-4681-8BCC-701B4955C8C7}">
    <text xml:space="preserve">Yellow color shows different macros values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F7A7-676F-4224-8BAB-6400BF50CC9C}">
  <dimension ref="A1:S102"/>
  <sheetViews>
    <sheetView topLeftCell="A65" zoomScale="85" zoomScaleNormal="85" workbookViewId="0">
      <selection activeCell="I81" sqref="I81"/>
    </sheetView>
  </sheetViews>
  <sheetFormatPr defaultRowHeight="15" x14ac:dyDescent="0.25"/>
  <cols>
    <col min="3" max="3" width="24.7109375" customWidth="1"/>
    <col min="5" max="5" width="11" customWidth="1"/>
    <col min="6" max="6" width="12.85546875" customWidth="1"/>
    <col min="7" max="7" width="20" customWidth="1"/>
    <col min="13" max="13" width="22" customWidth="1"/>
    <col min="14" max="14" width="12.85546875" customWidth="1"/>
    <col min="15" max="15" width="16" customWidth="1"/>
    <col min="16" max="16" width="19.85546875" customWidth="1"/>
  </cols>
  <sheetData>
    <row r="1" spans="1:19" ht="18.75" x14ac:dyDescent="0.3">
      <c r="A1" s="360" t="s">
        <v>137</v>
      </c>
      <c r="B1" s="360"/>
      <c r="C1" s="361" t="s">
        <v>283</v>
      </c>
      <c r="D1" s="362"/>
      <c r="E1" s="362"/>
      <c r="F1" s="363"/>
      <c r="G1" s="360" t="s">
        <v>140</v>
      </c>
      <c r="H1" s="360"/>
      <c r="I1" s="360"/>
      <c r="K1" s="360" t="s">
        <v>137</v>
      </c>
      <c r="L1" s="360"/>
      <c r="M1" s="361" t="s">
        <v>293</v>
      </c>
      <c r="N1" s="362"/>
      <c r="O1" s="362"/>
      <c r="P1" s="363"/>
      <c r="Q1" s="360" t="s">
        <v>140</v>
      </c>
      <c r="R1" s="360"/>
      <c r="S1" s="360"/>
    </row>
    <row r="2" spans="1:19" ht="18.75" x14ac:dyDescent="0.3">
      <c r="A2" s="360"/>
      <c r="B2" s="360"/>
      <c r="C2" s="366" t="s">
        <v>281</v>
      </c>
      <c r="D2" s="366"/>
      <c r="E2" s="366" t="s">
        <v>282</v>
      </c>
      <c r="F2" s="366"/>
      <c r="G2" s="360"/>
      <c r="H2" s="360"/>
      <c r="I2" s="360"/>
      <c r="K2" s="360"/>
      <c r="L2" s="360"/>
      <c r="M2" s="366" t="s">
        <v>281</v>
      </c>
      <c r="N2" s="366"/>
      <c r="O2" s="366" t="s">
        <v>282</v>
      </c>
      <c r="P2" s="366"/>
      <c r="Q2" s="360"/>
      <c r="R2" s="360"/>
      <c r="S2" s="360"/>
    </row>
    <row r="3" spans="1:19" ht="16.5" customHeight="1" x14ac:dyDescent="0.3">
      <c r="A3" s="347" t="s">
        <v>146</v>
      </c>
      <c r="B3" s="348"/>
      <c r="C3" s="131" t="s">
        <v>147</v>
      </c>
      <c r="D3" s="134">
        <v>8606</v>
      </c>
      <c r="E3" s="131" t="s">
        <v>147</v>
      </c>
      <c r="F3" s="134">
        <v>15930</v>
      </c>
      <c r="G3" s="367">
        <f>((F3-D3)/D3)</f>
        <v>0.85103416221240991</v>
      </c>
      <c r="H3" s="367"/>
      <c r="I3" s="367"/>
      <c r="K3" s="347" t="s">
        <v>146</v>
      </c>
      <c r="L3" s="348"/>
      <c r="M3" s="131" t="s">
        <v>147</v>
      </c>
      <c r="N3" s="134">
        <v>8606</v>
      </c>
      <c r="O3" s="131" t="s">
        <v>147</v>
      </c>
      <c r="P3" s="134">
        <v>16030</v>
      </c>
      <c r="Q3" s="367">
        <f t="shared" ref="Q3:Q10" si="0">((P3-N3)/N3)</f>
        <v>0.86265396235184755</v>
      </c>
      <c r="R3" s="367"/>
      <c r="S3" s="367"/>
    </row>
    <row r="4" spans="1:19" ht="16.5" customHeight="1" x14ac:dyDescent="0.3">
      <c r="A4" s="349"/>
      <c r="B4" s="350"/>
      <c r="C4" s="131" t="s">
        <v>148</v>
      </c>
      <c r="D4" s="135">
        <v>569</v>
      </c>
      <c r="E4" s="131" t="s">
        <v>148</v>
      </c>
      <c r="F4" s="135">
        <v>339</v>
      </c>
      <c r="G4" s="367">
        <f t="shared" ref="G4:G9" si="1">((F4-D4)/D4)</f>
        <v>-0.40421792618629176</v>
      </c>
      <c r="H4" s="367"/>
      <c r="I4" s="367"/>
      <c r="K4" s="349"/>
      <c r="L4" s="350"/>
      <c r="M4" s="131" t="s">
        <v>148</v>
      </c>
      <c r="N4" s="135">
        <v>569</v>
      </c>
      <c r="O4" s="131" t="s">
        <v>148</v>
      </c>
      <c r="P4" s="135">
        <v>351</v>
      </c>
      <c r="Q4" s="367">
        <f t="shared" si="0"/>
        <v>-0.38312829525483305</v>
      </c>
      <c r="R4" s="367"/>
      <c r="S4" s="367"/>
    </row>
    <row r="5" spans="1:19" ht="16.5" customHeight="1" x14ac:dyDescent="0.3">
      <c r="A5" s="349"/>
      <c r="B5" s="350"/>
      <c r="C5" s="131" t="s">
        <v>149</v>
      </c>
      <c r="D5" s="134">
        <v>9608</v>
      </c>
      <c r="E5" s="131" t="s">
        <v>149</v>
      </c>
      <c r="F5" s="134">
        <v>3446</v>
      </c>
      <c r="G5" s="367">
        <f t="shared" si="1"/>
        <v>-0.64134054954204833</v>
      </c>
      <c r="H5" s="367"/>
      <c r="I5" s="367"/>
      <c r="K5" s="349"/>
      <c r="L5" s="350"/>
      <c r="M5" s="131" t="s">
        <v>149</v>
      </c>
      <c r="N5" s="134">
        <f>9608+N21</f>
        <v>17800</v>
      </c>
      <c r="O5" s="131" t="s">
        <v>149</v>
      </c>
      <c r="P5" s="134">
        <f>3458+P21</f>
        <v>3970</v>
      </c>
      <c r="Q5" s="367">
        <f t="shared" si="0"/>
        <v>-0.77696629213483148</v>
      </c>
      <c r="R5" s="367"/>
      <c r="S5" s="367"/>
    </row>
    <row r="6" spans="1:19" ht="16.5" customHeight="1" x14ac:dyDescent="0.3">
      <c r="A6" s="351"/>
      <c r="B6" s="352"/>
      <c r="C6" s="131" t="s">
        <v>187</v>
      </c>
      <c r="D6" s="168">
        <f>SUM(D3+D4+D5)</f>
        <v>18783</v>
      </c>
      <c r="E6" s="131" t="s">
        <v>187</v>
      </c>
      <c r="F6" s="168">
        <f>SUM(F3+F4+F5)</f>
        <v>19715</v>
      </c>
      <c r="G6" s="367">
        <f t="shared" si="1"/>
        <v>4.9619336634190492E-2</v>
      </c>
      <c r="H6" s="367"/>
      <c r="I6" s="367"/>
      <c r="K6" s="351"/>
      <c r="L6" s="352"/>
      <c r="M6" s="131" t="s">
        <v>187</v>
      </c>
      <c r="N6" s="168">
        <f>SUM(N3+N4+N5)</f>
        <v>26975</v>
      </c>
      <c r="O6" s="131" t="s">
        <v>187</v>
      </c>
      <c r="P6" s="168">
        <f>SUM(P3+P4+P5)</f>
        <v>20351</v>
      </c>
      <c r="Q6" s="367">
        <f t="shared" si="0"/>
        <v>-0.24556070435588509</v>
      </c>
      <c r="R6" s="367"/>
      <c r="S6" s="367"/>
    </row>
    <row r="7" spans="1:19" ht="16.5" customHeight="1" x14ac:dyDescent="0.3">
      <c r="A7" s="343" t="s">
        <v>150</v>
      </c>
      <c r="B7" s="344"/>
      <c r="C7" s="131" t="s">
        <v>147</v>
      </c>
      <c r="D7" s="134">
        <v>8554</v>
      </c>
      <c r="E7" s="131" t="s">
        <v>147</v>
      </c>
      <c r="F7" s="134">
        <v>16730</v>
      </c>
      <c r="G7" s="367">
        <f t="shared" si="1"/>
        <v>0.95581014729950897</v>
      </c>
      <c r="H7" s="367"/>
      <c r="I7" s="367"/>
      <c r="K7" s="343" t="s">
        <v>150</v>
      </c>
      <c r="L7" s="344"/>
      <c r="M7" s="131" t="s">
        <v>147</v>
      </c>
      <c r="N7" s="134">
        <v>8554</v>
      </c>
      <c r="O7" s="131" t="s">
        <v>147</v>
      </c>
      <c r="P7" s="134">
        <v>16746</v>
      </c>
      <c r="Q7" s="367">
        <f t="shared" si="0"/>
        <v>0.95768061725508535</v>
      </c>
      <c r="R7" s="367"/>
      <c r="S7" s="367"/>
    </row>
    <row r="8" spans="1:19" ht="16.5" customHeight="1" x14ac:dyDescent="0.3">
      <c r="A8" s="353"/>
      <c r="B8" s="354"/>
      <c r="C8" s="131" t="s">
        <v>148</v>
      </c>
      <c r="D8" s="135">
        <v>531</v>
      </c>
      <c r="E8" s="131" t="s">
        <v>148</v>
      </c>
      <c r="F8" s="135">
        <v>319</v>
      </c>
      <c r="G8" s="367">
        <f t="shared" si="1"/>
        <v>-0.3992467043314501</v>
      </c>
      <c r="H8" s="367"/>
      <c r="I8" s="367"/>
      <c r="K8" s="353"/>
      <c r="L8" s="354"/>
      <c r="M8" s="131" t="s">
        <v>148</v>
      </c>
      <c r="N8" s="135">
        <v>531</v>
      </c>
      <c r="O8" s="131" t="s">
        <v>148</v>
      </c>
      <c r="P8" s="135">
        <v>331</v>
      </c>
      <c r="Q8" s="367">
        <f t="shared" si="0"/>
        <v>-0.37664783427495291</v>
      </c>
      <c r="R8" s="367"/>
      <c r="S8" s="367"/>
    </row>
    <row r="9" spans="1:19" ht="16.5" customHeight="1" x14ac:dyDescent="0.3">
      <c r="A9" s="353"/>
      <c r="B9" s="354"/>
      <c r="C9" s="131" t="s">
        <v>149</v>
      </c>
      <c r="D9" s="134">
        <v>9683</v>
      </c>
      <c r="E9" s="131" t="s">
        <v>149</v>
      </c>
      <c r="F9" s="134">
        <v>4089</v>
      </c>
      <c r="G9" s="367">
        <f t="shared" si="1"/>
        <v>-0.5777135185376433</v>
      </c>
      <c r="H9" s="367"/>
      <c r="I9" s="367"/>
      <c r="K9" s="353"/>
      <c r="L9" s="354"/>
      <c r="M9" s="131" t="s">
        <v>149</v>
      </c>
      <c r="N9" s="134">
        <f>9683+N23</f>
        <v>17875</v>
      </c>
      <c r="O9" s="131" t="s">
        <v>149</v>
      </c>
      <c r="P9" s="134">
        <f>4101+P21</f>
        <v>4613</v>
      </c>
      <c r="Q9" s="367">
        <f t="shared" si="0"/>
        <v>-0.74193006993006994</v>
      </c>
      <c r="R9" s="367"/>
      <c r="S9" s="367"/>
    </row>
    <row r="10" spans="1:19" ht="16.5" customHeight="1" x14ac:dyDescent="0.3">
      <c r="A10" s="355"/>
      <c r="B10" s="356"/>
      <c r="C10" s="131" t="s">
        <v>187</v>
      </c>
      <c r="D10" s="168">
        <f>SUM(D7+D8+D9)</f>
        <v>18768</v>
      </c>
      <c r="E10" s="131" t="s">
        <v>187</v>
      </c>
      <c r="F10" s="168">
        <f>SUM(F7+F8+F9)</f>
        <v>21138</v>
      </c>
      <c r="G10" s="367">
        <f>((F10-D10)/D10)</f>
        <v>0.12627877237851662</v>
      </c>
      <c r="H10" s="367"/>
      <c r="I10" s="367"/>
      <c r="K10" s="355"/>
      <c r="L10" s="356"/>
      <c r="M10" s="131" t="s">
        <v>187</v>
      </c>
      <c r="N10" s="168">
        <f>SUM(N7+N8+N9)</f>
        <v>26960</v>
      </c>
      <c r="O10" s="131" t="s">
        <v>187</v>
      </c>
      <c r="P10" s="168">
        <f>SUM(P7+P8+P9)</f>
        <v>21690</v>
      </c>
      <c r="Q10" s="367">
        <f t="shared" si="0"/>
        <v>-0.19547477744807121</v>
      </c>
      <c r="R10" s="367"/>
      <c r="S10" s="367"/>
    </row>
    <row r="11" spans="1:19" ht="16.5" customHeight="1" x14ac:dyDescent="0.25"/>
    <row r="12" spans="1:19" ht="16.5" customHeight="1" x14ac:dyDescent="0.25"/>
    <row r="13" spans="1:19" ht="16.5" customHeight="1" x14ac:dyDescent="0.25"/>
    <row r="14" spans="1:19" ht="16.5" customHeight="1" x14ac:dyDescent="0.25"/>
    <row r="18" spans="1:16" ht="18.75" x14ac:dyDescent="0.3">
      <c r="A18" s="360" t="s">
        <v>137</v>
      </c>
      <c r="B18" s="360"/>
      <c r="C18" s="361" t="s">
        <v>289</v>
      </c>
      <c r="D18" s="362"/>
      <c r="E18" s="362"/>
      <c r="F18" s="363"/>
      <c r="G18" s="360" t="s">
        <v>303</v>
      </c>
      <c r="H18" s="360"/>
      <c r="I18" s="360"/>
      <c r="M18" s="366" t="s">
        <v>290</v>
      </c>
      <c r="N18" s="366"/>
      <c r="O18" s="366"/>
      <c r="P18" s="366"/>
    </row>
    <row r="19" spans="1:16" ht="18.75" x14ac:dyDescent="0.3">
      <c r="A19" s="360"/>
      <c r="B19" s="360"/>
      <c r="C19" s="366" t="s">
        <v>281</v>
      </c>
      <c r="D19" s="366"/>
      <c r="E19" s="366" t="s">
        <v>282</v>
      </c>
      <c r="F19" s="366"/>
      <c r="G19" s="360"/>
      <c r="H19" s="360"/>
      <c r="I19" s="360"/>
      <c r="M19" s="366" t="s">
        <v>281</v>
      </c>
      <c r="N19" s="366"/>
      <c r="O19" s="366" t="s">
        <v>282</v>
      </c>
      <c r="P19" s="366"/>
    </row>
    <row r="20" spans="1:16" x14ac:dyDescent="0.25">
      <c r="A20" s="347" t="s">
        <v>146</v>
      </c>
      <c r="B20" s="348"/>
      <c r="C20" s="131" t="s">
        <v>284</v>
      </c>
      <c r="D20">
        <v>26.083680999999999</v>
      </c>
      <c r="E20" s="131" t="s">
        <v>284</v>
      </c>
      <c r="F20">
        <v>9.9901060000000008</v>
      </c>
      <c r="G20" s="367">
        <f t="shared" ref="G20:G26" si="2">((F20-D20)/D20)</f>
        <v>-0.61699784627790832</v>
      </c>
      <c r="H20" s="367"/>
      <c r="I20" s="367"/>
      <c r="K20" s="347" t="s">
        <v>146</v>
      </c>
      <c r="L20" s="348"/>
      <c r="M20" s="131" t="s">
        <v>291</v>
      </c>
      <c r="N20" s="131">
        <f>8*1024</f>
        <v>8192</v>
      </c>
      <c r="O20" s="131" t="s">
        <v>291</v>
      </c>
      <c r="P20" s="136">
        <v>1024</v>
      </c>
    </row>
    <row r="21" spans="1:16" x14ac:dyDescent="0.25">
      <c r="A21" s="349"/>
      <c r="B21" s="350"/>
      <c r="C21" s="131" t="s">
        <v>285</v>
      </c>
      <c r="D21" s="131">
        <v>216</v>
      </c>
      <c r="E21" s="131" t="s">
        <v>285</v>
      </c>
      <c r="F21" s="131">
        <v>213</v>
      </c>
      <c r="G21" s="367">
        <f t="shared" si="2"/>
        <v>-1.3888888888888888E-2</v>
      </c>
      <c r="H21" s="367"/>
      <c r="I21" s="367"/>
      <c r="K21" s="351"/>
      <c r="L21" s="352"/>
      <c r="M21" s="131" t="s">
        <v>292</v>
      </c>
      <c r="N21" s="131">
        <f>8*1024</f>
        <v>8192</v>
      </c>
      <c r="O21" s="131" t="s">
        <v>292</v>
      </c>
      <c r="P21" s="131">
        <v>512</v>
      </c>
    </row>
    <row r="22" spans="1:16" x14ac:dyDescent="0.25">
      <c r="A22" s="349"/>
      <c r="B22" s="350"/>
      <c r="C22" s="131" t="s">
        <v>286</v>
      </c>
      <c r="D22" s="131">
        <v>9.3500000000000007E-3</v>
      </c>
      <c r="E22" s="131" t="s">
        <v>286</v>
      </c>
      <c r="F22" s="131">
        <v>9.2840000000000006E-3</v>
      </c>
      <c r="G22" s="367">
        <f t="shared" si="2"/>
        <v>-7.0588235294117736E-3</v>
      </c>
      <c r="H22" s="367"/>
      <c r="I22" s="367"/>
      <c r="K22" s="343" t="s">
        <v>150</v>
      </c>
      <c r="L22" s="344"/>
      <c r="M22" s="131" t="s">
        <v>291</v>
      </c>
      <c r="N22" s="131">
        <f>8*1024</f>
        <v>8192</v>
      </c>
      <c r="O22" s="131" t="s">
        <v>291</v>
      </c>
      <c r="P22" s="136">
        <v>1024</v>
      </c>
    </row>
    <row r="23" spans="1:16" x14ac:dyDescent="0.25">
      <c r="A23" s="343" t="s">
        <v>150</v>
      </c>
      <c r="B23" s="344"/>
      <c r="C23" s="131" t="s">
        <v>284</v>
      </c>
      <c r="D23" s="131">
        <v>26.076238</v>
      </c>
      <c r="E23" s="131" t="s">
        <v>284</v>
      </c>
      <c r="F23" s="131">
        <v>9.9936000000000007</v>
      </c>
      <c r="G23" s="367">
        <f t="shared" si="2"/>
        <v>-0.61675453338016006</v>
      </c>
      <c r="H23" s="367"/>
      <c r="I23" s="367"/>
      <c r="K23" s="353"/>
      <c r="L23" s="354"/>
      <c r="M23" s="131" t="s">
        <v>292</v>
      </c>
      <c r="N23" s="131">
        <f>8*1024</f>
        <v>8192</v>
      </c>
      <c r="O23" s="131" t="s">
        <v>292</v>
      </c>
      <c r="P23" s="131">
        <v>512</v>
      </c>
    </row>
    <row r="24" spans="1:16" x14ac:dyDescent="0.25">
      <c r="A24" s="353"/>
      <c r="B24" s="354"/>
      <c r="C24" s="131" t="s">
        <v>285</v>
      </c>
      <c r="D24" s="131">
        <v>218.5</v>
      </c>
      <c r="E24" s="131" t="s">
        <v>285</v>
      </c>
      <c r="F24" s="131">
        <v>218.2</v>
      </c>
      <c r="G24" s="367">
        <f t="shared" si="2"/>
        <v>-1.3729977116705326E-3</v>
      </c>
      <c r="H24" s="367"/>
      <c r="I24" s="367"/>
    </row>
    <row r="25" spans="1:16" x14ac:dyDescent="0.25">
      <c r="A25" s="353"/>
      <c r="B25" s="354"/>
      <c r="C25" s="131" t="s">
        <v>287</v>
      </c>
      <c r="D25" s="131">
        <v>1.0034E-2</v>
      </c>
      <c r="E25" s="131" t="s">
        <v>287</v>
      </c>
      <c r="F25" s="131">
        <v>9.8799999999999999E-3</v>
      </c>
      <c r="G25" s="367">
        <f t="shared" si="2"/>
        <v>-1.5347817420769348E-2</v>
      </c>
      <c r="H25" s="367"/>
      <c r="I25" s="367"/>
    </row>
    <row r="26" spans="1:16" ht="15" customHeight="1" x14ac:dyDescent="0.25">
      <c r="A26" s="355"/>
      <c r="B26" s="356"/>
      <c r="C26" s="131" t="s">
        <v>288</v>
      </c>
      <c r="D26" s="131">
        <v>9.9319999999999999E-3</v>
      </c>
      <c r="E26" s="131" t="s">
        <v>288</v>
      </c>
      <c r="F26" s="131">
        <v>9.8600000000000007E-3</v>
      </c>
      <c r="G26" s="367">
        <f t="shared" si="2"/>
        <v>-7.2492952074103053E-3</v>
      </c>
      <c r="H26" s="367"/>
      <c r="I26" s="367"/>
    </row>
    <row r="27" spans="1:16" ht="15" customHeight="1" x14ac:dyDescent="0.25"/>
    <row r="28" spans="1:16" ht="15" customHeight="1" x14ac:dyDescent="0.3">
      <c r="A28" s="360" t="s">
        <v>150</v>
      </c>
      <c r="B28" s="360"/>
      <c r="C28" s="361" t="s">
        <v>283</v>
      </c>
      <c r="D28" s="362"/>
      <c r="E28" s="362"/>
      <c r="F28" s="363"/>
      <c r="G28" s="364" t="s">
        <v>140</v>
      </c>
      <c r="H28" s="365"/>
    </row>
    <row r="29" spans="1:16" ht="15" customHeight="1" x14ac:dyDescent="0.3">
      <c r="A29" s="360"/>
      <c r="B29" s="360"/>
      <c r="C29" s="366" t="s">
        <v>281</v>
      </c>
      <c r="D29" s="366"/>
      <c r="E29" s="366" t="s">
        <v>282</v>
      </c>
      <c r="F29" s="366"/>
      <c r="G29" s="165" t="s">
        <v>230</v>
      </c>
      <c r="H29" s="165" t="s">
        <v>160</v>
      </c>
    </row>
    <row r="30" spans="1:16" ht="15" customHeight="1" x14ac:dyDescent="0.3">
      <c r="A30" s="347" t="s">
        <v>146</v>
      </c>
      <c r="B30" s="348"/>
      <c r="C30" s="131" t="s">
        <v>181</v>
      </c>
      <c r="D30" s="134">
        <f>D3+D4</f>
        <v>9175</v>
      </c>
      <c r="E30" s="131" t="s">
        <v>181</v>
      </c>
      <c r="F30" s="134">
        <f>F3+F4</f>
        <v>16269</v>
      </c>
      <c r="G30" s="187">
        <f>F30-D30</f>
        <v>7094</v>
      </c>
      <c r="H30" s="138">
        <f>G30/D30</f>
        <v>0.77318801089918254</v>
      </c>
    </row>
    <row r="31" spans="1:16" ht="15" customHeight="1" x14ac:dyDescent="0.3">
      <c r="A31" s="349"/>
      <c r="B31" s="350"/>
      <c r="C31" s="131" t="s">
        <v>182</v>
      </c>
      <c r="D31" s="168">
        <f>D5</f>
        <v>9608</v>
      </c>
      <c r="E31" s="131" t="s">
        <v>182</v>
      </c>
      <c r="F31" s="168">
        <f>F5</f>
        <v>3446</v>
      </c>
      <c r="G31" s="187">
        <f t="shared" ref="G31:G34" si="3">F31-D31</f>
        <v>-6162</v>
      </c>
      <c r="H31" s="138">
        <f t="shared" ref="H31:H32" si="4">G31/D31</f>
        <v>-0.64134054954204833</v>
      </c>
    </row>
    <row r="32" spans="1:16" ht="16.5" x14ac:dyDescent="0.3">
      <c r="A32" s="351"/>
      <c r="B32" s="352"/>
      <c r="C32" s="131" t="s">
        <v>187</v>
      </c>
      <c r="D32" s="168">
        <f>SUM(D30+D31)</f>
        <v>18783</v>
      </c>
      <c r="E32" s="131" t="s">
        <v>187</v>
      </c>
      <c r="F32" s="168">
        <f>SUM(F30+F31)</f>
        <v>19715</v>
      </c>
      <c r="G32" s="187">
        <f t="shared" si="3"/>
        <v>932</v>
      </c>
      <c r="H32" s="138">
        <f t="shared" si="4"/>
        <v>4.9619336634190492E-2</v>
      </c>
    </row>
    <row r="33" spans="1:8" ht="16.5" x14ac:dyDescent="0.3">
      <c r="A33" s="343" t="s">
        <v>150</v>
      </c>
      <c r="B33" s="344"/>
      <c r="C33" s="131" t="s">
        <v>181</v>
      </c>
      <c r="D33" s="134">
        <f>D7+D8</f>
        <v>9085</v>
      </c>
      <c r="E33" s="131" t="s">
        <v>181</v>
      </c>
      <c r="F33" s="134">
        <f>F7+F8</f>
        <v>17049</v>
      </c>
      <c r="G33" s="187">
        <f t="shared" si="3"/>
        <v>7964</v>
      </c>
      <c r="H33" s="138">
        <f>((F33-D33)/D33)</f>
        <v>0.87660979636763892</v>
      </c>
    </row>
    <row r="34" spans="1:8" ht="16.5" x14ac:dyDescent="0.3">
      <c r="A34" s="353"/>
      <c r="B34" s="354"/>
      <c r="C34" s="131" t="s">
        <v>182</v>
      </c>
      <c r="D34" s="168">
        <f>D9</f>
        <v>9683</v>
      </c>
      <c r="E34" s="131" t="s">
        <v>182</v>
      </c>
      <c r="F34" s="168">
        <f>F9</f>
        <v>4089</v>
      </c>
      <c r="G34" s="187">
        <f t="shared" si="3"/>
        <v>-5594</v>
      </c>
      <c r="H34" s="138">
        <f t="shared" ref="H34" si="5">((F34-D34)/D34)</f>
        <v>-0.5777135185376433</v>
      </c>
    </row>
    <row r="35" spans="1:8" ht="16.5" x14ac:dyDescent="0.3">
      <c r="A35" s="355"/>
      <c r="B35" s="356"/>
      <c r="C35" s="131" t="s">
        <v>187</v>
      </c>
      <c r="D35" s="168">
        <f>SUM(D33+D34)</f>
        <v>18768</v>
      </c>
      <c r="E35" s="131" t="s">
        <v>187</v>
      </c>
      <c r="F35" s="168">
        <f>SUM(F33+F34)</f>
        <v>21138</v>
      </c>
      <c r="G35" s="187">
        <f>F35-D35</f>
        <v>2370</v>
      </c>
      <c r="H35" s="138">
        <f>((F35-D35)/D35)</f>
        <v>0.12627877237851662</v>
      </c>
    </row>
    <row r="37" spans="1:8" ht="18.75" x14ac:dyDescent="0.3">
      <c r="A37" s="357" t="s">
        <v>137</v>
      </c>
      <c r="B37" s="358"/>
      <c r="C37" s="359"/>
      <c r="D37" s="142" t="s">
        <v>332</v>
      </c>
      <c r="E37" s="142" t="s">
        <v>334</v>
      </c>
      <c r="F37" s="186" t="s">
        <v>140</v>
      </c>
    </row>
    <row r="38" spans="1:8" ht="18.600000000000001" customHeight="1" x14ac:dyDescent="0.3">
      <c r="A38" s="347" t="s">
        <v>146</v>
      </c>
      <c r="B38" s="348"/>
      <c r="C38" s="131" t="s">
        <v>181</v>
      </c>
      <c r="D38" s="134">
        <v>9175</v>
      </c>
      <c r="E38" s="134">
        <v>16269</v>
      </c>
      <c r="F38" s="138">
        <v>0.78539509536784702</v>
      </c>
    </row>
    <row r="39" spans="1:8" ht="16.5" customHeight="1" x14ac:dyDescent="0.3">
      <c r="A39" s="351"/>
      <c r="B39" s="352"/>
      <c r="C39" s="131" t="s">
        <v>182</v>
      </c>
      <c r="D39" s="168">
        <v>9608</v>
      </c>
      <c r="E39" s="168">
        <v>3446</v>
      </c>
      <c r="F39" s="138">
        <v>-0.64009159034138197</v>
      </c>
    </row>
    <row r="40" spans="1:8" ht="16.5" customHeight="1" x14ac:dyDescent="0.3">
      <c r="A40" s="343" t="s">
        <v>150</v>
      </c>
      <c r="B40" s="344"/>
      <c r="C40" s="131" t="s">
        <v>181</v>
      </c>
      <c r="D40" s="134">
        <v>9085</v>
      </c>
      <c r="E40" s="134">
        <v>17049</v>
      </c>
      <c r="F40" s="138">
        <v>0.87969179966978495</v>
      </c>
    </row>
    <row r="41" spans="1:8" ht="16.5" customHeight="1" x14ac:dyDescent="0.3">
      <c r="A41" s="353"/>
      <c r="B41" s="354"/>
      <c r="C41" s="131" t="s">
        <v>182</v>
      </c>
      <c r="D41" s="168">
        <v>9683</v>
      </c>
      <c r="E41" s="168">
        <v>4089</v>
      </c>
      <c r="F41" s="138">
        <v>-0.57647423319219304</v>
      </c>
    </row>
    <row r="42" spans="1:8" ht="16.5" customHeight="1" x14ac:dyDescent="0.25"/>
    <row r="43" spans="1:8" ht="16.5" customHeight="1" x14ac:dyDescent="0.3">
      <c r="A43" s="357" t="s">
        <v>137</v>
      </c>
      <c r="B43" s="358"/>
      <c r="C43" s="359"/>
      <c r="D43" s="142" t="s">
        <v>332</v>
      </c>
      <c r="E43" s="142" t="s">
        <v>334</v>
      </c>
      <c r="F43" s="142" t="s">
        <v>303</v>
      </c>
    </row>
    <row r="44" spans="1:8" ht="15" customHeight="1" x14ac:dyDescent="0.25">
      <c r="A44" s="347" t="s">
        <v>146</v>
      </c>
      <c r="B44" s="348"/>
      <c r="C44" s="131" t="s">
        <v>284</v>
      </c>
      <c r="D44">
        <v>26.083680999999999</v>
      </c>
      <c r="E44">
        <v>9.9901060000000008</v>
      </c>
      <c r="F44" s="158">
        <f t="shared" ref="F44:F50" si="6">((E44-D44)/D44)</f>
        <v>-0.61699784627790832</v>
      </c>
    </row>
    <row r="45" spans="1:8" ht="15" customHeight="1" x14ac:dyDescent="0.25">
      <c r="A45" s="347" t="s">
        <v>146</v>
      </c>
      <c r="B45" s="348"/>
      <c r="C45" s="131" t="s">
        <v>285</v>
      </c>
      <c r="D45" s="131">
        <v>216</v>
      </c>
      <c r="E45" s="131">
        <v>213</v>
      </c>
      <c r="F45" s="158">
        <f t="shared" si="6"/>
        <v>-1.3888888888888888E-2</v>
      </c>
    </row>
    <row r="46" spans="1:8" ht="15" customHeight="1" x14ac:dyDescent="0.25">
      <c r="A46" s="347" t="s">
        <v>146</v>
      </c>
      <c r="B46" s="348"/>
      <c r="C46" s="131" t="s">
        <v>286</v>
      </c>
      <c r="D46" s="131">
        <v>9.3500000000000007E-3</v>
      </c>
      <c r="E46" s="131">
        <v>9.2840000000000006E-3</v>
      </c>
      <c r="F46" s="158">
        <f t="shared" si="6"/>
        <v>-7.0588235294117736E-3</v>
      </c>
    </row>
    <row r="47" spans="1:8" ht="15" customHeight="1" x14ac:dyDescent="0.25">
      <c r="A47" s="343" t="s">
        <v>150</v>
      </c>
      <c r="B47" s="344"/>
      <c r="C47" s="131" t="s">
        <v>284</v>
      </c>
      <c r="D47" s="131">
        <v>26.076238</v>
      </c>
      <c r="E47" s="131">
        <v>9.9936000000000007</v>
      </c>
      <c r="F47" s="158">
        <f t="shared" si="6"/>
        <v>-0.61675453338016006</v>
      </c>
    </row>
    <row r="48" spans="1:8" ht="15" customHeight="1" x14ac:dyDescent="0.25">
      <c r="A48" s="343" t="s">
        <v>150</v>
      </c>
      <c r="B48" s="344"/>
      <c r="C48" s="131" t="s">
        <v>285</v>
      </c>
      <c r="D48" s="131">
        <v>218.5</v>
      </c>
      <c r="E48" s="131">
        <v>218.2</v>
      </c>
      <c r="F48" s="158">
        <f t="shared" si="6"/>
        <v>-1.3729977116705326E-3</v>
      </c>
    </row>
    <row r="49" spans="1:6" ht="15" customHeight="1" x14ac:dyDescent="0.25">
      <c r="A49" s="343" t="s">
        <v>150</v>
      </c>
      <c r="B49" s="344"/>
      <c r="C49" s="131" t="s">
        <v>287</v>
      </c>
      <c r="D49" s="131">
        <v>1.0034E-2</v>
      </c>
      <c r="E49" s="131">
        <v>9.8799999999999999E-3</v>
      </c>
      <c r="F49" s="158">
        <f t="shared" si="6"/>
        <v>-1.5347817420769348E-2</v>
      </c>
    </row>
    <row r="50" spans="1:6" ht="15" customHeight="1" x14ac:dyDescent="0.25">
      <c r="A50" s="343" t="s">
        <v>150</v>
      </c>
      <c r="B50" s="344"/>
      <c r="C50" s="131" t="s">
        <v>288</v>
      </c>
      <c r="D50" s="131">
        <v>9.9319999999999999E-3</v>
      </c>
      <c r="E50" s="131">
        <v>9.8600000000000007E-3</v>
      </c>
      <c r="F50" s="158">
        <f t="shared" si="6"/>
        <v>-7.2492952074103053E-3</v>
      </c>
    </row>
    <row r="52" spans="1:6" ht="22.5" x14ac:dyDescent="0.25">
      <c r="A52" s="337" t="s">
        <v>345</v>
      </c>
      <c r="B52" s="337"/>
      <c r="C52" s="309" t="s">
        <v>143</v>
      </c>
      <c r="D52" s="309" t="s">
        <v>255</v>
      </c>
      <c r="E52" s="309" t="s">
        <v>336</v>
      </c>
      <c r="F52" s="309" t="s">
        <v>337</v>
      </c>
    </row>
    <row r="53" spans="1:6" ht="32.1" customHeight="1" x14ac:dyDescent="0.25">
      <c r="A53" s="338" t="s">
        <v>146</v>
      </c>
      <c r="B53" s="338"/>
      <c r="C53" s="310" t="s">
        <v>339</v>
      </c>
      <c r="D53" s="311">
        <v>2580</v>
      </c>
      <c r="E53" s="311">
        <v>1942</v>
      </c>
      <c r="F53" s="138">
        <f t="shared" ref="F53:F58" si="7">(D53-E53)/E53</f>
        <v>0.32852729145211124</v>
      </c>
    </row>
    <row r="54" spans="1:6" x14ac:dyDescent="0.25">
      <c r="A54" s="338"/>
      <c r="B54" s="338"/>
      <c r="C54" s="312" t="s">
        <v>340</v>
      </c>
      <c r="D54" s="313">
        <v>10426</v>
      </c>
      <c r="E54" s="313">
        <v>820</v>
      </c>
      <c r="F54" s="138">
        <f t="shared" si="7"/>
        <v>11.714634146341464</v>
      </c>
    </row>
    <row r="55" spans="1:6" x14ac:dyDescent="0.25">
      <c r="A55" s="338"/>
      <c r="B55" s="338"/>
      <c r="C55" s="310" t="s">
        <v>344</v>
      </c>
      <c r="D55" s="311">
        <v>2859</v>
      </c>
      <c r="E55" s="311">
        <v>5743</v>
      </c>
      <c r="F55" s="138">
        <f t="shared" si="7"/>
        <v>-0.50217656277207035</v>
      </c>
    </row>
    <row r="56" spans="1:6" ht="42.6" customHeight="1" x14ac:dyDescent="0.25">
      <c r="A56" s="339" t="s">
        <v>150</v>
      </c>
      <c r="B56" s="339"/>
      <c r="C56" s="312" t="s">
        <v>339</v>
      </c>
      <c r="D56" s="314">
        <v>2683</v>
      </c>
      <c r="E56" s="314">
        <v>1882</v>
      </c>
      <c r="F56" s="138">
        <f t="shared" si="7"/>
        <v>0.42561105207226357</v>
      </c>
    </row>
    <row r="57" spans="1:6" x14ac:dyDescent="0.25">
      <c r="A57" s="339"/>
      <c r="B57" s="339"/>
      <c r="C57" s="310" t="s">
        <v>340</v>
      </c>
      <c r="D57" s="311">
        <v>10446</v>
      </c>
      <c r="E57" s="311">
        <v>820</v>
      </c>
      <c r="F57" s="138">
        <f t="shared" si="7"/>
        <v>11.739024390243902</v>
      </c>
    </row>
    <row r="58" spans="1:6" x14ac:dyDescent="0.25">
      <c r="A58" s="339"/>
      <c r="B58" s="339"/>
      <c r="C58" s="312" t="s">
        <v>344</v>
      </c>
      <c r="D58" s="314">
        <v>2423</v>
      </c>
      <c r="E58" s="314">
        <v>5709</v>
      </c>
      <c r="F58" s="138">
        <f t="shared" si="7"/>
        <v>-0.5755824137327028</v>
      </c>
    </row>
    <row r="61" spans="1:6" x14ac:dyDescent="0.25">
      <c r="C61" s="310" t="s">
        <v>339</v>
      </c>
      <c r="D61" s="312" t="s">
        <v>340</v>
      </c>
      <c r="E61" s="310" t="s">
        <v>344</v>
      </c>
    </row>
    <row r="62" spans="1:6" x14ac:dyDescent="0.25">
      <c r="A62" s="345" t="s">
        <v>255</v>
      </c>
      <c r="B62" s="315" t="s">
        <v>146</v>
      </c>
      <c r="C62" s="311">
        <v>1560</v>
      </c>
      <c r="D62" s="313">
        <v>10442</v>
      </c>
      <c r="E62" s="311">
        <v>2870</v>
      </c>
    </row>
    <row r="63" spans="1:6" x14ac:dyDescent="0.25">
      <c r="A63" s="346"/>
      <c r="B63" s="315" t="s">
        <v>150</v>
      </c>
      <c r="C63" s="311">
        <v>1543</v>
      </c>
      <c r="D63" s="313">
        <v>10442</v>
      </c>
      <c r="E63" s="311">
        <v>3290</v>
      </c>
    </row>
    <row r="64" spans="1:6" x14ac:dyDescent="0.25">
      <c r="A64" s="345" t="s">
        <v>336</v>
      </c>
      <c r="B64" s="315" t="s">
        <v>146</v>
      </c>
      <c r="C64" s="311">
        <v>1498</v>
      </c>
      <c r="D64" s="313">
        <v>820</v>
      </c>
      <c r="E64" s="311">
        <v>5738</v>
      </c>
    </row>
    <row r="65" spans="1:5" x14ac:dyDescent="0.25">
      <c r="A65" s="346"/>
      <c r="B65" s="315" t="s">
        <v>150</v>
      </c>
      <c r="C65" s="311">
        <v>1458</v>
      </c>
      <c r="D65" s="313">
        <v>820</v>
      </c>
      <c r="E65" s="311">
        <v>6064</v>
      </c>
    </row>
    <row r="67" spans="1:5" x14ac:dyDescent="0.25">
      <c r="C67" s="310" t="s">
        <v>339</v>
      </c>
      <c r="D67" s="312" t="s">
        <v>340</v>
      </c>
      <c r="E67" s="310" t="s">
        <v>344</v>
      </c>
    </row>
    <row r="68" spans="1:5" ht="22.5" x14ac:dyDescent="0.25">
      <c r="A68" s="335" t="s">
        <v>146</v>
      </c>
      <c r="B68" s="316" t="s">
        <v>255</v>
      </c>
      <c r="C68" s="311">
        <v>1560</v>
      </c>
      <c r="D68" s="313">
        <v>10442</v>
      </c>
      <c r="E68" s="311">
        <v>2870</v>
      </c>
    </row>
    <row r="69" spans="1:5" ht="21" customHeight="1" x14ac:dyDescent="0.25">
      <c r="A69" s="336"/>
      <c r="B69" s="316" t="s">
        <v>347</v>
      </c>
      <c r="C69" s="311">
        <v>1498</v>
      </c>
      <c r="D69" s="313">
        <v>820</v>
      </c>
      <c r="E69" s="311">
        <v>5738</v>
      </c>
    </row>
    <row r="70" spans="1:5" ht="21" customHeight="1" x14ac:dyDescent="0.25">
      <c r="A70" s="335" t="s">
        <v>150</v>
      </c>
      <c r="B70" s="316" t="s">
        <v>346</v>
      </c>
      <c r="C70" s="327">
        <v>2683</v>
      </c>
      <c r="D70" s="314">
        <v>10446</v>
      </c>
      <c r="E70" s="327">
        <v>2423</v>
      </c>
    </row>
    <row r="71" spans="1:5" x14ac:dyDescent="0.25">
      <c r="A71" s="336"/>
      <c r="B71" s="316" t="s">
        <v>347</v>
      </c>
      <c r="C71" s="327">
        <v>1882</v>
      </c>
      <c r="D71" s="313">
        <v>820</v>
      </c>
      <c r="E71" s="327">
        <v>5709</v>
      </c>
    </row>
    <row r="84" spans="1:7" ht="22.5" x14ac:dyDescent="0.25">
      <c r="A84" s="337" t="s">
        <v>345</v>
      </c>
      <c r="B84" s="337"/>
      <c r="C84" s="309" t="s">
        <v>143</v>
      </c>
      <c r="D84" s="309" t="s">
        <v>255</v>
      </c>
      <c r="E84" s="309" t="s">
        <v>336</v>
      </c>
      <c r="F84" s="309" t="s">
        <v>337</v>
      </c>
    </row>
    <row r="85" spans="1:7" x14ac:dyDescent="0.25">
      <c r="A85" s="338" t="s">
        <v>146</v>
      </c>
      <c r="B85" s="338"/>
      <c r="C85" s="310" t="s">
        <v>339</v>
      </c>
      <c r="D85" s="311">
        <v>1560</v>
      </c>
      <c r="E85" s="311">
        <v>1498</v>
      </c>
      <c r="F85" s="138">
        <f t="shared" ref="F85:F90" si="8">(D85-E85)/E85</f>
        <v>4.1388518024032039E-2</v>
      </c>
    </row>
    <row r="86" spans="1:7" x14ac:dyDescent="0.25">
      <c r="A86" s="338"/>
      <c r="B86" s="338"/>
      <c r="C86" s="312" t="s">
        <v>340</v>
      </c>
      <c r="D86" s="313">
        <v>10442</v>
      </c>
      <c r="E86" s="313">
        <v>820</v>
      </c>
      <c r="F86" s="138">
        <f t="shared" si="8"/>
        <v>11.734146341463415</v>
      </c>
    </row>
    <row r="87" spans="1:7" x14ac:dyDescent="0.25">
      <c r="A87" s="338"/>
      <c r="B87" s="338"/>
      <c r="C87" s="310" t="s">
        <v>344</v>
      </c>
      <c r="D87" s="311">
        <v>2870</v>
      </c>
      <c r="E87" s="311">
        <v>5738</v>
      </c>
      <c r="F87" s="138">
        <f t="shared" si="8"/>
        <v>-0.49982572324851865</v>
      </c>
    </row>
    <row r="88" spans="1:7" x14ac:dyDescent="0.25">
      <c r="A88" s="339" t="s">
        <v>150</v>
      </c>
      <c r="B88" s="339"/>
      <c r="C88" s="312" t="s">
        <v>339</v>
      </c>
      <c r="D88" s="314">
        <v>1543</v>
      </c>
      <c r="E88" s="314">
        <v>1458</v>
      </c>
      <c r="F88" s="138">
        <f t="shared" si="8"/>
        <v>5.8299039780521263E-2</v>
      </c>
    </row>
    <row r="89" spans="1:7" x14ac:dyDescent="0.25">
      <c r="A89" s="339"/>
      <c r="B89" s="339"/>
      <c r="C89" s="310" t="s">
        <v>340</v>
      </c>
      <c r="D89" s="311">
        <v>10442</v>
      </c>
      <c r="E89" s="311">
        <v>820</v>
      </c>
      <c r="F89" s="138">
        <f t="shared" si="8"/>
        <v>11.734146341463415</v>
      </c>
    </row>
    <row r="90" spans="1:7" x14ac:dyDescent="0.25">
      <c r="A90" s="339"/>
      <c r="B90" s="339"/>
      <c r="C90" s="312" t="s">
        <v>344</v>
      </c>
      <c r="D90" s="314">
        <v>3290</v>
      </c>
      <c r="E90" s="314">
        <v>6064</v>
      </c>
      <c r="F90" s="138">
        <f t="shared" si="8"/>
        <v>-0.45745382585751981</v>
      </c>
    </row>
    <row r="92" spans="1:7" x14ac:dyDescent="0.25">
      <c r="C92" s="310" t="s">
        <v>339</v>
      </c>
      <c r="D92" s="340" t="s">
        <v>340</v>
      </c>
      <c r="E92" s="341"/>
      <c r="F92" s="342"/>
      <c r="G92" s="310" t="s">
        <v>344</v>
      </c>
    </row>
    <row r="94" spans="1:7" ht="22.5" x14ac:dyDescent="0.25">
      <c r="A94" s="317" t="s">
        <v>146</v>
      </c>
      <c r="B94" s="316" t="s">
        <v>255</v>
      </c>
      <c r="C94" s="311">
        <v>1560</v>
      </c>
      <c r="D94" s="313">
        <v>10442</v>
      </c>
      <c r="G94" s="311">
        <v>2870</v>
      </c>
    </row>
    <row r="95" spans="1:7" x14ac:dyDescent="0.25">
      <c r="A95" s="318"/>
      <c r="B95" s="316" t="s">
        <v>347</v>
      </c>
      <c r="C95" s="311">
        <v>1498</v>
      </c>
      <c r="D95" s="313">
        <v>820</v>
      </c>
      <c r="G95" s="311">
        <v>5738</v>
      </c>
    </row>
    <row r="96" spans="1:7" ht="22.5" x14ac:dyDescent="0.25">
      <c r="A96" s="335" t="s">
        <v>150</v>
      </c>
      <c r="B96" s="316" t="s">
        <v>346</v>
      </c>
      <c r="C96" s="311">
        <v>1543</v>
      </c>
      <c r="D96" s="313">
        <v>10442</v>
      </c>
      <c r="G96" s="311">
        <v>3290</v>
      </c>
    </row>
    <row r="97" spans="1:7" x14ac:dyDescent="0.25">
      <c r="A97" s="336"/>
      <c r="B97" s="316" t="s">
        <v>347</v>
      </c>
      <c r="C97" s="311">
        <v>1458</v>
      </c>
      <c r="D97" s="313">
        <v>820</v>
      </c>
      <c r="G97" s="311">
        <v>6064</v>
      </c>
    </row>
    <row r="100" spans="1:7" ht="24" x14ac:dyDescent="0.25">
      <c r="A100" s="322" t="s">
        <v>345</v>
      </c>
      <c r="B100" s="323" t="s">
        <v>359</v>
      </c>
      <c r="C100" s="323" t="s">
        <v>356</v>
      </c>
      <c r="D100" s="323" t="s">
        <v>357</v>
      </c>
      <c r="E100" s="323" t="s">
        <v>358</v>
      </c>
      <c r="F100" s="323" t="s">
        <v>355</v>
      </c>
    </row>
    <row r="101" spans="1:7" x14ac:dyDescent="0.25">
      <c r="A101" s="324" t="s">
        <v>146</v>
      </c>
      <c r="B101" s="325">
        <v>2388</v>
      </c>
      <c r="C101" s="325">
        <v>2618</v>
      </c>
      <c r="D101" s="325">
        <v>4560</v>
      </c>
      <c r="E101" s="326">
        <v>886</v>
      </c>
      <c r="F101" s="325">
        <v>10452</v>
      </c>
    </row>
    <row r="102" spans="1:7" x14ac:dyDescent="0.25">
      <c r="A102" s="324" t="s">
        <v>150</v>
      </c>
      <c r="B102" s="325">
        <v>2388</v>
      </c>
      <c r="C102" s="325">
        <v>2600</v>
      </c>
      <c r="D102" s="325">
        <v>4560</v>
      </c>
      <c r="E102" s="326">
        <v>884</v>
      </c>
      <c r="F102" s="325">
        <v>10432</v>
      </c>
    </row>
  </sheetData>
  <mergeCells count="79">
    <mergeCell ref="Q1:S2"/>
    <mergeCell ref="C2:D2"/>
    <mergeCell ref="E2:F2"/>
    <mergeCell ref="M2:N2"/>
    <mergeCell ref="O2:P2"/>
    <mergeCell ref="A1:B2"/>
    <mergeCell ref="C1:F1"/>
    <mergeCell ref="G1:I2"/>
    <mergeCell ref="K1:L2"/>
    <mergeCell ref="M1:P1"/>
    <mergeCell ref="A3:B6"/>
    <mergeCell ref="G3:I3"/>
    <mergeCell ref="K3:L6"/>
    <mergeCell ref="Q3:S3"/>
    <mergeCell ref="G4:I4"/>
    <mergeCell ref="Q4:S4"/>
    <mergeCell ref="G5:I5"/>
    <mergeCell ref="Q5:S5"/>
    <mergeCell ref="G6:I6"/>
    <mergeCell ref="Q6:S6"/>
    <mergeCell ref="A7:B10"/>
    <mergeCell ref="G7:I7"/>
    <mergeCell ref="K7:L10"/>
    <mergeCell ref="Q7:S7"/>
    <mergeCell ref="G8:I8"/>
    <mergeCell ref="Q8:S8"/>
    <mergeCell ref="G9:I9"/>
    <mergeCell ref="Q9:S9"/>
    <mergeCell ref="G10:I10"/>
    <mergeCell ref="Q10:S10"/>
    <mergeCell ref="A18:B19"/>
    <mergeCell ref="C18:F18"/>
    <mergeCell ref="G18:I19"/>
    <mergeCell ref="M18:P18"/>
    <mergeCell ref="C19:D19"/>
    <mergeCell ref="E19:F19"/>
    <mergeCell ref="M19:N19"/>
    <mergeCell ref="O19:P19"/>
    <mergeCell ref="A20:B22"/>
    <mergeCell ref="G20:I20"/>
    <mergeCell ref="K20:L21"/>
    <mergeCell ref="G21:I21"/>
    <mergeCell ref="G22:I22"/>
    <mergeCell ref="K22:L23"/>
    <mergeCell ref="A23:B26"/>
    <mergeCell ref="G23:I23"/>
    <mergeCell ref="G24:I24"/>
    <mergeCell ref="G25:I25"/>
    <mergeCell ref="G26:I26"/>
    <mergeCell ref="A28:B29"/>
    <mergeCell ref="C28:F28"/>
    <mergeCell ref="G28:H28"/>
    <mergeCell ref="C29:D29"/>
    <mergeCell ref="E29:F29"/>
    <mergeCell ref="A49:B49"/>
    <mergeCell ref="A30:B32"/>
    <mergeCell ref="A33:B35"/>
    <mergeCell ref="A37:C37"/>
    <mergeCell ref="A38:B39"/>
    <mergeCell ref="A40:B41"/>
    <mergeCell ref="A43:C43"/>
    <mergeCell ref="A44:B44"/>
    <mergeCell ref="A45:B45"/>
    <mergeCell ref="A46:B46"/>
    <mergeCell ref="A47:B47"/>
    <mergeCell ref="A48:B48"/>
    <mergeCell ref="D92:F92"/>
    <mergeCell ref="A50:B50"/>
    <mergeCell ref="A52:B52"/>
    <mergeCell ref="A53:B55"/>
    <mergeCell ref="A56:B58"/>
    <mergeCell ref="A62:A63"/>
    <mergeCell ref="A64:A65"/>
    <mergeCell ref="A96:A97"/>
    <mergeCell ref="A68:A69"/>
    <mergeCell ref="A70:A71"/>
    <mergeCell ref="A84:B84"/>
    <mergeCell ref="A85:B87"/>
    <mergeCell ref="A88:B90"/>
  </mergeCells>
  <conditionalFormatting sqref="F44:F50">
    <cfRule type="cellIs" dxfId="97" priority="5" operator="lessThan">
      <formula>0</formula>
    </cfRule>
    <cfRule type="cellIs" dxfId="96" priority="6" operator="greaterThan">
      <formula>0</formula>
    </cfRule>
  </conditionalFormatting>
  <conditionalFormatting sqref="F53:F58">
    <cfRule type="cellIs" dxfId="95" priority="3" operator="lessThan">
      <formula>0</formula>
    </cfRule>
    <cfRule type="cellIs" dxfId="94" priority="4" operator="greaterThan">
      <formula>0</formula>
    </cfRule>
  </conditionalFormatting>
  <conditionalFormatting sqref="F85:F90">
    <cfRule type="cellIs" dxfId="93" priority="1" operator="lessThan">
      <formula>0</formula>
    </cfRule>
    <cfRule type="cellIs" dxfId="92" priority="2" operator="greaterThan">
      <formula>0</formula>
    </cfRule>
  </conditionalFormatting>
  <conditionalFormatting sqref="G3:G10 F38:F41">
    <cfRule type="cellIs" dxfId="91" priority="13" operator="lessThan">
      <formula>0</formula>
    </cfRule>
    <cfRule type="cellIs" dxfId="90" priority="14" operator="greaterThan">
      <formula>0</formula>
    </cfRule>
  </conditionalFormatting>
  <conditionalFormatting sqref="G20:G26">
    <cfRule type="cellIs" dxfId="89" priority="11" operator="lessThan">
      <formula>0</formula>
    </cfRule>
    <cfRule type="cellIs" dxfId="88" priority="12" operator="greaterThan">
      <formula>0</formula>
    </cfRule>
  </conditionalFormatting>
  <conditionalFormatting sqref="G30:H35">
    <cfRule type="cellIs" dxfId="87" priority="7" operator="lessThan">
      <formula>0</formula>
    </cfRule>
    <cfRule type="cellIs" dxfId="86" priority="8" operator="greaterThan">
      <formula>0</formula>
    </cfRule>
  </conditionalFormatting>
  <conditionalFormatting sqref="Q3:Q10">
    <cfRule type="cellIs" dxfId="85" priority="9" operator="lessThan">
      <formula>0</formula>
    </cfRule>
    <cfRule type="cellIs" dxfId="84" priority="10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4D7A-9839-4D3F-AB9B-9498264BDF56}">
  <sheetPr codeName="Sheet1"/>
  <dimension ref="A1:AE98"/>
  <sheetViews>
    <sheetView zoomScaleNormal="100" workbookViewId="0">
      <pane xSplit="3" ySplit="7" topLeftCell="F53" activePane="bottomRight" state="frozen"/>
      <selection pane="topRight" activeCell="B1" sqref="B1"/>
      <selection pane="bottomLeft" activeCell="A8" sqref="A8"/>
      <selection pane="bottomRight" activeCell="F48" sqref="F48"/>
    </sheetView>
  </sheetViews>
  <sheetFormatPr defaultColWidth="16.85546875" defaultRowHeight="15.75" customHeight="1" x14ac:dyDescent="0.25"/>
  <cols>
    <col min="3" max="3" width="74.42578125" bestFit="1" customWidth="1"/>
    <col min="6" max="7" width="16.85546875" customWidth="1"/>
    <col min="9" max="9" width="20.5703125" customWidth="1"/>
    <col min="10" max="10" width="17.140625" customWidth="1"/>
    <col min="17" max="17" width="15.7109375" bestFit="1" customWidth="1"/>
    <col min="19" max="20" width="18.7109375" customWidth="1"/>
  </cols>
  <sheetData>
    <row r="1" spans="1:31" ht="15.75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5.75" customHeight="1" x14ac:dyDescent="0.25">
      <c r="A2" s="58"/>
      <c r="B2" s="58"/>
      <c r="C2" s="381"/>
      <c r="D2" s="381"/>
      <c r="E2" s="381"/>
      <c r="F2" s="381"/>
      <c r="G2" s="381"/>
      <c r="H2" s="381"/>
      <c r="I2" s="381"/>
      <c r="J2" s="381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 ht="15.75" customHeight="1" x14ac:dyDescent="0.25">
      <c r="A3" s="58"/>
      <c r="B3" s="58"/>
      <c r="C3" s="60"/>
      <c r="D3" s="60"/>
      <c r="E3" s="60"/>
      <c r="F3" s="60"/>
      <c r="G3" s="60"/>
      <c r="H3" s="60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</row>
    <row r="4" spans="1:31" ht="15.75" customHeight="1" x14ac:dyDescent="0.25">
      <c r="A4" s="59"/>
      <c r="B4" s="59"/>
      <c r="C4" s="59"/>
      <c r="D4" s="377" t="s">
        <v>0</v>
      </c>
      <c r="E4" s="377"/>
      <c r="F4" s="377"/>
      <c r="G4" s="377"/>
      <c r="H4" s="377"/>
      <c r="I4" s="377"/>
      <c r="J4" s="377"/>
      <c r="K4" s="378"/>
      <c r="L4" s="387" t="s">
        <v>1</v>
      </c>
      <c r="M4" s="388"/>
      <c r="N4" s="379" t="s">
        <v>2</v>
      </c>
      <c r="O4" s="379"/>
      <c r="P4" s="379"/>
      <c r="Q4" s="380"/>
      <c r="R4" s="389" t="s">
        <v>3</v>
      </c>
      <c r="S4" s="389"/>
      <c r="T4" s="382" t="s">
        <v>4</v>
      </c>
      <c r="U4" s="383"/>
      <c r="V4" s="383"/>
      <c r="W4" s="383"/>
      <c r="X4" s="383"/>
      <c r="Y4" s="384"/>
      <c r="Z4" s="385" t="s">
        <v>5</v>
      </c>
      <c r="AA4" s="385"/>
      <c r="AB4" s="385"/>
      <c r="AC4" s="385"/>
      <c r="AD4" s="385"/>
      <c r="AE4" s="386"/>
    </row>
    <row r="5" spans="1:31" ht="15.75" customHeight="1" x14ac:dyDescent="0.25">
      <c r="A5" s="59"/>
      <c r="B5" s="59"/>
      <c r="C5" s="59"/>
      <c r="D5" s="368" t="s">
        <v>6</v>
      </c>
      <c r="E5" s="368"/>
      <c r="F5" s="368"/>
      <c r="G5" s="369"/>
      <c r="H5" s="368" t="s">
        <v>7</v>
      </c>
      <c r="I5" s="368"/>
      <c r="J5" s="368"/>
      <c r="K5" s="375"/>
      <c r="L5" s="368" t="s">
        <v>8</v>
      </c>
      <c r="M5" s="375"/>
      <c r="N5" s="368" t="s">
        <v>8</v>
      </c>
      <c r="O5" s="369"/>
      <c r="P5" s="368" t="s">
        <v>9</v>
      </c>
      <c r="Q5" s="375"/>
      <c r="R5" s="368" t="s">
        <v>8</v>
      </c>
      <c r="S5" s="369"/>
      <c r="T5" s="376" t="s">
        <v>8</v>
      </c>
      <c r="U5" s="369"/>
      <c r="V5" s="368" t="s">
        <v>9</v>
      </c>
      <c r="W5" s="368"/>
      <c r="X5" s="368"/>
      <c r="Y5" s="375"/>
      <c r="Z5" s="368" t="s">
        <v>8</v>
      </c>
      <c r="AA5" s="369"/>
      <c r="AB5" s="368" t="s">
        <v>9</v>
      </c>
      <c r="AC5" s="368"/>
      <c r="AD5" s="368"/>
      <c r="AE5" s="375"/>
    </row>
    <row r="6" spans="1:31" ht="15.75" customHeight="1" x14ac:dyDescent="0.25">
      <c r="A6" s="59"/>
      <c r="B6" s="59"/>
      <c r="C6" s="59"/>
      <c r="D6" s="368" t="s">
        <v>10</v>
      </c>
      <c r="E6" s="375"/>
      <c r="F6" s="368" t="s">
        <v>11</v>
      </c>
      <c r="G6" s="369"/>
      <c r="H6" s="368" t="s">
        <v>10</v>
      </c>
      <c r="I6" s="375"/>
      <c r="J6" s="368" t="s">
        <v>11</v>
      </c>
      <c r="K6" s="375"/>
      <c r="L6" s="368" t="s">
        <v>10</v>
      </c>
      <c r="M6" s="375"/>
      <c r="N6" s="368" t="s">
        <v>10</v>
      </c>
      <c r="O6" s="369"/>
      <c r="P6" s="368" t="s">
        <v>10</v>
      </c>
      <c r="Q6" s="375"/>
      <c r="R6" s="368" t="s">
        <v>10</v>
      </c>
      <c r="S6" s="369"/>
      <c r="T6" s="368" t="s">
        <v>10</v>
      </c>
      <c r="U6" s="375"/>
      <c r="V6" s="390" t="s">
        <v>10</v>
      </c>
      <c r="W6" s="375"/>
      <c r="X6" s="368" t="s">
        <v>11</v>
      </c>
      <c r="Y6" s="375"/>
      <c r="Z6" s="368" t="s">
        <v>10</v>
      </c>
      <c r="AA6" s="375"/>
      <c r="AB6" s="390" t="s">
        <v>10</v>
      </c>
      <c r="AC6" s="375"/>
      <c r="AD6" s="368" t="s">
        <v>11</v>
      </c>
      <c r="AE6" s="375"/>
    </row>
    <row r="7" spans="1:31" ht="15.75" customHeight="1" x14ac:dyDescent="0.25">
      <c r="A7" s="58"/>
      <c r="B7" s="58"/>
      <c r="C7" s="58"/>
      <c r="D7" s="376" t="s">
        <v>12</v>
      </c>
      <c r="E7" s="375"/>
      <c r="F7" s="368" t="s">
        <v>13</v>
      </c>
      <c r="G7" s="369"/>
      <c r="H7" s="368" t="s">
        <v>14</v>
      </c>
      <c r="I7" s="375"/>
      <c r="J7" s="368" t="s">
        <v>15</v>
      </c>
      <c r="K7" s="375"/>
      <c r="L7" s="368" t="s">
        <v>16</v>
      </c>
      <c r="M7" s="375"/>
      <c r="N7" s="368" t="s">
        <v>17</v>
      </c>
      <c r="O7" s="369"/>
      <c r="P7" s="368" t="s">
        <v>18</v>
      </c>
      <c r="Q7" s="375"/>
      <c r="R7" s="368" t="s">
        <v>19</v>
      </c>
      <c r="S7" s="369"/>
      <c r="T7" s="376" t="s">
        <v>20</v>
      </c>
      <c r="U7" s="375"/>
      <c r="V7" s="390" t="s">
        <v>21</v>
      </c>
      <c r="W7" s="375"/>
      <c r="X7" s="368" t="s">
        <v>22</v>
      </c>
      <c r="Y7" s="375"/>
      <c r="Z7" s="368" t="s">
        <v>23</v>
      </c>
      <c r="AA7" s="375"/>
      <c r="AB7" s="390" t="s">
        <v>24</v>
      </c>
      <c r="AC7" s="375"/>
      <c r="AD7" s="368" t="s">
        <v>25</v>
      </c>
      <c r="AE7" s="375"/>
    </row>
    <row r="8" spans="1:31" ht="15.75" customHeight="1" x14ac:dyDescent="0.25">
      <c r="A8" s="58"/>
      <c r="B8" s="58"/>
      <c r="C8" s="58"/>
      <c r="D8" s="376" t="s">
        <v>26</v>
      </c>
      <c r="E8" s="375"/>
      <c r="F8" s="368" t="s">
        <v>26</v>
      </c>
      <c r="G8" s="369"/>
      <c r="H8" s="368" t="s">
        <v>27</v>
      </c>
      <c r="I8" s="375"/>
      <c r="J8" s="368" t="s">
        <v>27</v>
      </c>
      <c r="K8" s="375"/>
      <c r="L8" s="368" t="s">
        <v>26</v>
      </c>
      <c r="M8" s="375"/>
      <c r="N8" s="368" t="s">
        <v>26</v>
      </c>
      <c r="O8" s="369"/>
      <c r="P8" s="368" t="s">
        <v>27</v>
      </c>
      <c r="Q8" s="375"/>
      <c r="R8" s="368" t="s">
        <v>28</v>
      </c>
      <c r="S8" s="369"/>
      <c r="T8" s="376" t="s">
        <v>26</v>
      </c>
      <c r="U8" s="375"/>
      <c r="V8" s="368" t="s">
        <v>26</v>
      </c>
      <c r="W8" s="375"/>
      <c r="X8" s="368" t="s">
        <v>26</v>
      </c>
      <c r="Y8" s="375"/>
      <c r="Z8" s="368" t="s">
        <v>26</v>
      </c>
      <c r="AA8" s="375"/>
      <c r="AB8" s="368" t="s">
        <v>26</v>
      </c>
      <c r="AC8" s="375"/>
      <c r="AD8" s="368" t="s">
        <v>26</v>
      </c>
      <c r="AE8" s="375"/>
    </row>
    <row r="9" spans="1:31" ht="15.75" customHeight="1" x14ac:dyDescent="0.25">
      <c r="A9" s="58"/>
      <c r="B9" s="58"/>
      <c r="C9" s="58"/>
      <c r="D9" s="15" t="s">
        <v>29</v>
      </c>
      <c r="E9" s="16" t="s">
        <v>30</v>
      </c>
      <c r="F9" s="15" t="s">
        <v>29</v>
      </c>
      <c r="G9" s="17" t="s">
        <v>30</v>
      </c>
      <c r="H9" s="18" t="s">
        <v>29</v>
      </c>
      <c r="I9" s="16" t="s">
        <v>30</v>
      </c>
      <c r="J9" s="15" t="s">
        <v>29</v>
      </c>
      <c r="K9" s="17" t="s">
        <v>30</v>
      </c>
      <c r="L9" s="18" t="s">
        <v>29</v>
      </c>
      <c r="M9" s="17" t="s">
        <v>30</v>
      </c>
      <c r="N9" s="18" t="s">
        <v>29</v>
      </c>
      <c r="O9" s="16" t="s">
        <v>30</v>
      </c>
      <c r="P9" s="15" t="s">
        <v>29</v>
      </c>
      <c r="Q9" s="17" t="s">
        <v>30</v>
      </c>
      <c r="R9" s="18" t="s">
        <v>29</v>
      </c>
      <c r="S9" s="17" t="s">
        <v>30</v>
      </c>
      <c r="T9" s="18" t="s">
        <v>29</v>
      </c>
      <c r="U9" s="16" t="s">
        <v>30</v>
      </c>
      <c r="V9" s="15" t="s">
        <v>29</v>
      </c>
      <c r="W9" s="16" t="s">
        <v>30</v>
      </c>
      <c r="X9" s="15" t="s">
        <v>29</v>
      </c>
      <c r="Y9" s="17" t="s">
        <v>30</v>
      </c>
      <c r="Z9" s="18" t="s">
        <v>29</v>
      </c>
      <c r="AA9" s="16" t="s">
        <v>30</v>
      </c>
      <c r="AB9" s="15" t="s">
        <v>29</v>
      </c>
      <c r="AC9" s="16" t="s">
        <v>30</v>
      </c>
      <c r="AD9" s="15" t="s">
        <v>29</v>
      </c>
      <c r="AE9" s="17" t="s">
        <v>30</v>
      </c>
    </row>
    <row r="10" spans="1:31" ht="15.75" customHeight="1" x14ac:dyDescent="0.25">
      <c r="A10" s="58"/>
      <c r="B10" s="372" t="s">
        <v>31</v>
      </c>
      <c r="C10" s="61" t="s">
        <v>32</v>
      </c>
      <c r="D10" s="13" t="s">
        <v>33</v>
      </c>
      <c r="E10" s="19" t="s">
        <v>33</v>
      </c>
      <c r="F10" s="20" t="s">
        <v>33</v>
      </c>
      <c r="G10" s="21" t="s">
        <v>33</v>
      </c>
      <c r="H10" s="13" t="s">
        <v>33</v>
      </c>
      <c r="I10" s="19" t="s">
        <v>33</v>
      </c>
      <c r="J10" s="20" t="s">
        <v>33</v>
      </c>
      <c r="K10" s="21" t="s">
        <v>33</v>
      </c>
      <c r="L10" s="13" t="s">
        <v>33</v>
      </c>
      <c r="M10" s="21" t="s">
        <v>33</v>
      </c>
      <c r="N10" s="13" t="s">
        <v>33</v>
      </c>
      <c r="O10" s="19" t="s">
        <v>33</v>
      </c>
      <c r="P10" s="20" t="s">
        <v>33</v>
      </c>
      <c r="Q10" s="96" t="s">
        <v>33</v>
      </c>
      <c r="R10" s="13" t="s">
        <v>33</v>
      </c>
      <c r="S10" s="21" t="s">
        <v>33</v>
      </c>
      <c r="T10" s="13" t="s">
        <v>33</v>
      </c>
      <c r="U10" s="19" t="s">
        <v>33</v>
      </c>
      <c r="V10" s="20" t="s">
        <v>33</v>
      </c>
      <c r="W10" s="19" t="s">
        <v>33</v>
      </c>
      <c r="X10" s="20" t="s">
        <v>33</v>
      </c>
      <c r="Y10" s="21" t="s">
        <v>33</v>
      </c>
      <c r="Z10" s="13" t="s">
        <v>33</v>
      </c>
      <c r="AA10" s="19"/>
      <c r="AB10" s="20" t="s">
        <v>33</v>
      </c>
      <c r="AC10" s="19" t="s">
        <v>33</v>
      </c>
      <c r="AD10" s="20" t="s">
        <v>33</v>
      </c>
      <c r="AE10" s="21" t="s">
        <v>33</v>
      </c>
    </row>
    <row r="11" spans="1:31" ht="15.75" customHeight="1" x14ac:dyDescent="0.25">
      <c r="A11" s="58"/>
      <c r="B11" s="370"/>
      <c r="C11" s="62" t="s">
        <v>34</v>
      </c>
      <c r="D11" s="22" t="s">
        <v>33</v>
      </c>
      <c r="E11" s="23" t="s">
        <v>33</v>
      </c>
      <c r="F11" s="24" t="s">
        <v>33</v>
      </c>
      <c r="G11" s="25" t="s">
        <v>33</v>
      </c>
      <c r="H11" s="22" t="s">
        <v>33</v>
      </c>
      <c r="I11" s="23" t="s">
        <v>33</v>
      </c>
      <c r="J11" s="24" t="s">
        <v>33</v>
      </c>
      <c r="K11" s="25" t="s">
        <v>33</v>
      </c>
      <c r="L11" s="22" t="s">
        <v>33</v>
      </c>
      <c r="M11" s="25" t="s">
        <v>33</v>
      </c>
      <c r="N11" s="22" t="s">
        <v>33</v>
      </c>
      <c r="O11" s="23" t="s">
        <v>33</v>
      </c>
      <c r="P11" s="24" t="s">
        <v>33</v>
      </c>
      <c r="Q11" s="97" t="s">
        <v>33</v>
      </c>
      <c r="R11" s="22" t="s">
        <v>33</v>
      </c>
      <c r="S11" s="25" t="s">
        <v>33</v>
      </c>
      <c r="T11" s="22" t="s">
        <v>33</v>
      </c>
      <c r="U11" s="23" t="s">
        <v>33</v>
      </c>
      <c r="V11" s="24" t="s">
        <v>33</v>
      </c>
      <c r="W11" s="23" t="s">
        <v>33</v>
      </c>
      <c r="X11" s="24" t="s">
        <v>33</v>
      </c>
      <c r="Y11" s="25" t="s">
        <v>33</v>
      </c>
      <c r="Z11" s="22" t="s">
        <v>33</v>
      </c>
      <c r="AA11" s="23"/>
      <c r="AB11" s="24" t="s">
        <v>33</v>
      </c>
      <c r="AC11" s="23" t="s">
        <v>33</v>
      </c>
      <c r="AD11" s="24" t="s">
        <v>33</v>
      </c>
      <c r="AE11" s="25" t="s">
        <v>33</v>
      </c>
    </row>
    <row r="12" spans="1:31" ht="15.75" customHeight="1" x14ac:dyDescent="0.25">
      <c r="A12" s="58"/>
      <c r="B12" s="370"/>
      <c r="C12" s="62" t="s">
        <v>35</v>
      </c>
      <c r="D12" s="22" t="s">
        <v>36</v>
      </c>
      <c r="E12" s="23" t="s">
        <v>36</v>
      </c>
      <c r="F12" s="24" t="s">
        <v>36</v>
      </c>
      <c r="G12" s="25" t="s">
        <v>36</v>
      </c>
      <c r="H12" s="22" t="s">
        <v>36</v>
      </c>
      <c r="I12" s="23" t="s">
        <v>36</v>
      </c>
      <c r="J12" s="24" t="s">
        <v>36</v>
      </c>
      <c r="K12" s="25" t="s">
        <v>36</v>
      </c>
      <c r="L12" s="22" t="s">
        <v>36</v>
      </c>
      <c r="M12" s="25" t="s">
        <v>36</v>
      </c>
      <c r="N12" s="22" t="s">
        <v>36</v>
      </c>
      <c r="O12" s="23" t="s">
        <v>36</v>
      </c>
      <c r="P12" s="24" t="s">
        <v>36</v>
      </c>
      <c r="Q12" s="97" t="s">
        <v>36</v>
      </c>
      <c r="R12" s="22" t="s">
        <v>36</v>
      </c>
      <c r="S12" s="25" t="s">
        <v>36</v>
      </c>
      <c r="T12" s="22" t="s">
        <v>36</v>
      </c>
      <c r="U12" s="23" t="s">
        <v>36</v>
      </c>
      <c r="V12" s="24" t="s">
        <v>36</v>
      </c>
      <c r="W12" s="23" t="s">
        <v>36</v>
      </c>
      <c r="X12" s="24" t="s">
        <v>36</v>
      </c>
      <c r="Y12" s="25" t="s">
        <v>36</v>
      </c>
      <c r="Z12" s="22" t="s">
        <v>36</v>
      </c>
      <c r="AA12" s="23"/>
      <c r="AB12" s="24" t="s">
        <v>36</v>
      </c>
      <c r="AC12" s="23" t="s">
        <v>36</v>
      </c>
      <c r="AD12" s="24" t="s">
        <v>36</v>
      </c>
      <c r="AE12" s="25" t="s">
        <v>36</v>
      </c>
    </row>
    <row r="13" spans="1:31" ht="15.75" customHeight="1" x14ac:dyDescent="0.25">
      <c r="A13" s="58"/>
      <c r="B13" s="370"/>
      <c r="C13" s="62" t="s">
        <v>37</v>
      </c>
      <c r="D13" s="22" t="s">
        <v>33</v>
      </c>
      <c r="E13" s="23" t="s">
        <v>33</v>
      </c>
      <c r="F13" s="24" t="s">
        <v>33</v>
      </c>
      <c r="G13" s="25" t="s">
        <v>33</v>
      </c>
      <c r="H13" s="22" t="s">
        <v>33</v>
      </c>
      <c r="I13" s="23" t="s">
        <v>33</v>
      </c>
      <c r="J13" s="24" t="s">
        <v>33</v>
      </c>
      <c r="K13" s="25" t="s">
        <v>33</v>
      </c>
      <c r="L13" s="22" t="s">
        <v>33</v>
      </c>
      <c r="M13" s="25" t="s">
        <v>33</v>
      </c>
      <c r="N13" s="22" t="s">
        <v>33</v>
      </c>
      <c r="O13" s="23" t="s">
        <v>33</v>
      </c>
      <c r="P13" s="24" t="s">
        <v>33</v>
      </c>
      <c r="Q13" s="97" t="s">
        <v>33</v>
      </c>
      <c r="R13" s="22" t="s">
        <v>33</v>
      </c>
      <c r="S13" s="25" t="s">
        <v>33</v>
      </c>
      <c r="T13" s="22" t="s">
        <v>33</v>
      </c>
      <c r="U13" s="23" t="s">
        <v>33</v>
      </c>
      <c r="V13" s="24" t="s">
        <v>33</v>
      </c>
      <c r="W13" s="23" t="s">
        <v>33</v>
      </c>
      <c r="X13" s="24" t="s">
        <v>33</v>
      </c>
      <c r="Y13" s="25" t="s">
        <v>33</v>
      </c>
      <c r="Z13" s="22" t="s">
        <v>33</v>
      </c>
      <c r="AA13" s="23"/>
      <c r="AB13" s="24" t="s">
        <v>33</v>
      </c>
      <c r="AC13" s="23" t="s">
        <v>33</v>
      </c>
      <c r="AD13" s="24" t="s">
        <v>33</v>
      </c>
      <c r="AE13" s="25" t="s">
        <v>33</v>
      </c>
    </row>
    <row r="14" spans="1:31" ht="15.75" customHeight="1" x14ac:dyDescent="0.25">
      <c r="A14" s="58"/>
      <c r="B14" s="370"/>
      <c r="C14" s="62" t="s">
        <v>38</v>
      </c>
      <c r="D14" s="22" t="s">
        <v>33</v>
      </c>
      <c r="E14" s="23" t="s">
        <v>33</v>
      </c>
      <c r="F14" s="24" t="s">
        <v>33</v>
      </c>
      <c r="G14" s="25" t="s">
        <v>33</v>
      </c>
      <c r="H14" s="22" t="s">
        <v>33</v>
      </c>
      <c r="I14" s="23" t="s">
        <v>33</v>
      </c>
      <c r="J14" s="24" t="s">
        <v>33</v>
      </c>
      <c r="K14" s="25" t="s">
        <v>33</v>
      </c>
      <c r="L14" s="22" t="s">
        <v>33</v>
      </c>
      <c r="M14" s="25" t="s">
        <v>33</v>
      </c>
      <c r="N14" s="22" t="s">
        <v>33</v>
      </c>
      <c r="O14" s="23" t="s">
        <v>33</v>
      </c>
      <c r="P14" s="24" t="s">
        <v>33</v>
      </c>
      <c r="Q14" s="97" t="s">
        <v>33</v>
      </c>
      <c r="R14" s="22" t="s">
        <v>33</v>
      </c>
      <c r="S14" s="25" t="s">
        <v>33</v>
      </c>
      <c r="T14" s="22" t="s">
        <v>33</v>
      </c>
      <c r="U14" s="23" t="s">
        <v>33</v>
      </c>
      <c r="V14" s="24" t="s">
        <v>33</v>
      </c>
      <c r="W14" s="23" t="s">
        <v>33</v>
      </c>
      <c r="X14" s="24" t="s">
        <v>33</v>
      </c>
      <c r="Y14" s="25" t="s">
        <v>33</v>
      </c>
      <c r="Z14" s="22" t="s">
        <v>33</v>
      </c>
      <c r="AA14" s="23"/>
      <c r="AB14" s="24" t="s">
        <v>33</v>
      </c>
      <c r="AC14" s="23" t="s">
        <v>33</v>
      </c>
      <c r="AD14" s="24" t="s">
        <v>33</v>
      </c>
      <c r="AE14" s="25" t="s">
        <v>33</v>
      </c>
    </row>
    <row r="15" spans="1:31" ht="15.75" customHeight="1" x14ac:dyDescent="0.25">
      <c r="A15" s="58"/>
      <c r="B15" s="370"/>
      <c r="C15" s="62" t="s">
        <v>39</v>
      </c>
      <c r="D15" s="22" t="s">
        <v>33</v>
      </c>
      <c r="E15" s="23" t="s">
        <v>33</v>
      </c>
      <c r="F15" s="24" t="s">
        <v>33</v>
      </c>
      <c r="G15" s="25" t="s">
        <v>33</v>
      </c>
      <c r="H15" s="22" t="s">
        <v>33</v>
      </c>
      <c r="I15" s="23" t="s">
        <v>33</v>
      </c>
      <c r="J15" s="24" t="s">
        <v>33</v>
      </c>
      <c r="K15" s="25" t="s">
        <v>33</v>
      </c>
      <c r="L15" s="22" t="s">
        <v>33</v>
      </c>
      <c r="M15" s="25" t="s">
        <v>33</v>
      </c>
      <c r="N15" s="22" t="s">
        <v>33</v>
      </c>
      <c r="O15" s="23" t="s">
        <v>33</v>
      </c>
      <c r="P15" s="24" t="s">
        <v>33</v>
      </c>
      <c r="Q15" s="97" t="s">
        <v>33</v>
      </c>
      <c r="R15" s="22" t="s">
        <v>33</v>
      </c>
      <c r="S15" s="25" t="s">
        <v>33</v>
      </c>
      <c r="T15" s="22" t="s">
        <v>33</v>
      </c>
      <c r="U15" s="23" t="s">
        <v>33</v>
      </c>
      <c r="V15" s="24" t="s">
        <v>33</v>
      </c>
      <c r="W15" s="23" t="s">
        <v>33</v>
      </c>
      <c r="X15" s="24" t="s">
        <v>33</v>
      </c>
      <c r="Y15" s="25" t="s">
        <v>33</v>
      </c>
      <c r="Z15" s="22" t="s">
        <v>33</v>
      </c>
      <c r="AA15" s="23"/>
      <c r="AB15" s="24" t="s">
        <v>33</v>
      </c>
      <c r="AC15" s="23" t="s">
        <v>33</v>
      </c>
      <c r="AD15" s="24" t="s">
        <v>33</v>
      </c>
      <c r="AE15" s="25" t="s">
        <v>33</v>
      </c>
    </row>
    <row r="16" spans="1:31" ht="15.75" customHeight="1" x14ac:dyDescent="0.25">
      <c r="A16" s="58"/>
      <c r="B16" s="370"/>
      <c r="C16" s="62" t="s">
        <v>40</v>
      </c>
      <c r="D16" s="22" t="s">
        <v>33</v>
      </c>
      <c r="E16" s="23" t="s">
        <v>33</v>
      </c>
      <c r="F16" s="24" t="s">
        <v>33</v>
      </c>
      <c r="G16" s="25" t="s">
        <v>33</v>
      </c>
      <c r="H16" s="22" t="s">
        <v>33</v>
      </c>
      <c r="I16" s="23" t="s">
        <v>33</v>
      </c>
      <c r="J16" s="24" t="s">
        <v>33</v>
      </c>
      <c r="K16" s="25" t="s">
        <v>33</v>
      </c>
      <c r="L16" s="22" t="s">
        <v>33</v>
      </c>
      <c r="M16" s="25" t="s">
        <v>33</v>
      </c>
      <c r="N16" s="22" t="s">
        <v>33</v>
      </c>
      <c r="O16" s="23" t="s">
        <v>33</v>
      </c>
      <c r="P16" s="24" t="s">
        <v>33</v>
      </c>
      <c r="Q16" s="97" t="s">
        <v>33</v>
      </c>
      <c r="R16" s="22" t="s">
        <v>33</v>
      </c>
      <c r="S16" s="25" t="s">
        <v>33</v>
      </c>
      <c r="T16" s="22" t="s">
        <v>33</v>
      </c>
      <c r="U16" s="23" t="s">
        <v>33</v>
      </c>
      <c r="V16" s="24" t="s">
        <v>33</v>
      </c>
      <c r="W16" s="23" t="s">
        <v>33</v>
      </c>
      <c r="X16" s="24" t="s">
        <v>33</v>
      </c>
      <c r="Y16" s="25" t="s">
        <v>33</v>
      </c>
      <c r="Z16" s="22" t="s">
        <v>33</v>
      </c>
      <c r="AA16" s="23"/>
      <c r="AB16" s="24" t="s">
        <v>33</v>
      </c>
      <c r="AC16" s="23" t="s">
        <v>33</v>
      </c>
      <c r="AD16" s="24" t="s">
        <v>33</v>
      </c>
      <c r="AE16" s="25" t="s">
        <v>33</v>
      </c>
    </row>
    <row r="17" spans="1:31" ht="15.75" customHeight="1" x14ac:dyDescent="0.25">
      <c r="A17" s="58"/>
      <c r="B17" s="370"/>
      <c r="C17" s="62" t="s">
        <v>41</v>
      </c>
      <c r="D17" s="22" t="s">
        <v>33</v>
      </c>
      <c r="E17" s="23" t="s">
        <v>33</v>
      </c>
      <c r="F17" s="24" t="s">
        <v>42</v>
      </c>
      <c r="G17" s="98" t="s">
        <v>42</v>
      </c>
      <c r="H17" s="22" t="s">
        <v>33</v>
      </c>
      <c r="I17" s="23" t="s">
        <v>33</v>
      </c>
      <c r="J17" s="24" t="s">
        <v>42</v>
      </c>
      <c r="K17" s="25" t="s">
        <v>42</v>
      </c>
      <c r="L17" s="22" t="s">
        <v>33</v>
      </c>
      <c r="M17" s="25" t="s">
        <v>33</v>
      </c>
      <c r="N17" s="22" t="s">
        <v>33</v>
      </c>
      <c r="O17" s="23" t="s">
        <v>33</v>
      </c>
      <c r="P17" s="24" t="s">
        <v>33</v>
      </c>
      <c r="Q17" s="97" t="s">
        <v>33</v>
      </c>
      <c r="R17" s="22" t="s">
        <v>33</v>
      </c>
      <c r="S17" s="25" t="s">
        <v>33</v>
      </c>
      <c r="T17" s="22" t="s">
        <v>33</v>
      </c>
      <c r="U17" s="23" t="s">
        <v>33</v>
      </c>
      <c r="V17" s="24" t="s">
        <v>33</v>
      </c>
      <c r="W17" s="23" t="s">
        <v>33</v>
      </c>
      <c r="X17" s="24" t="s">
        <v>42</v>
      </c>
      <c r="Y17" s="25" t="s">
        <v>42</v>
      </c>
      <c r="Z17" s="22" t="s">
        <v>33</v>
      </c>
      <c r="AA17" s="23"/>
      <c r="AB17" s="24" t="s">
        <v>33</v>
      </c>
      <c r="AC17" s="23" t="s">
        <v>33</v>
      </c>
      <c r="AD17" s="24" t="s">
        <v>42</v>
      </c>
      <c r="AE17" s="25" t="s">
        <v>42</v>
      </c>
    </row>
    <row r="18" spans="1:31" ht="15.75" customHeight="1" x14ac:dyDescent="0.25">
      <c r="A18" s="58"/>
      <c r="B18" s="370"/>
      <c r="C18" s="62" t="s">
        <v>43</v>
      </c>
      <c r="D18" s="26" t="s">
        <v>44</v>
      </c>
      <c r="E18" s="23" t="s">
        <v>44</v>
      </c>
      <c r="F18" s="27" t="s">
        <v>44</v>
      </c>
      <c r="G18" s="25" t="s">
        <v>44</v>
      </c>
      <c r="H18" s="26" t="s">
        <v>44</v>
      </c>
      <c r="I18" s="23" t="s">
        <v>44</v>
      </c>
      <c r="J18" s="27" t="s">
        <v>44</v>
      </c>
      <c r="K18" s="25" t="s">
        <v>44</v>
      </c>
      <c r="L18" s="26" t="s">
        <v>44</v>
      </c>
      <c r="M18" s="25" t="s">
        <v>44</v>
      </c>
      <c r="N18" s="26" t="s">
        <v>44</v>
      </c>
      <c r="O18" s="23" t="s">
        <v>44</v>
      </c>
      <c r="P18" s="27" t="s">
        <v>44</v>
      </c>
      <c r="Q18" s="97" t="s">
        <v>44</v>
      </c>
      <c r="R18" s="26" t="s">
        <v>44</v>
      </c>
      <c r="S18" s="25" t="s">
        <v>44</v>
      </c>
      <c r="T18" s="26" t="s">
        <v>44</v>
      </c>
      <c r="U18" s="23" t="s">
        <v>44</v>
      </c>
      <c r="V18" s="27" t="s">
        <v>44</v>
      </c>
      <c r="W18" s="23" t="s">
        <v>44</v>
      </c>
      <c r="X18" s="27" t="s">
        <v>44</v>
      </c>
      <c r="Y18" s="25" t="s">
        <v>44</v>
      </c>
      <c r="Z18" s="26" t="s">
        <v>44</v>
      </c>
      <c r="AA18" s="23"/>
      <c r="AB18" s="27" t="s">
        <v>44</v>
      </c>
      <c r="AC18" s="23" t="s">
        <v>44</v>
      </c>
      <c r="AD18" s="27" t="s">
        <v>44</v>
      </c>
      <c r="AE18" s="25" t="s">
        <v>44</v>
      </c>
    </row>
    <row r="19" spans="1:31" ht="15.75" customHeight="1" x14ac:dyDescent="0.25">
      <c r="A19" s="58"/>
      <c r="B19" s="370"/>
      <c r="C19" s="62" t="s">
        <v>45</v>
      </c>
      <c r="D19" s="26">
        <v>100</v>
      </c>
      <c r="E19" s="23">
        <v>100</v>
      </c>
      <c r="F19" s="27">
        <v>100</v>
      </c>
      <c r="G19" s="25">
        <v>100</v>
      </c>
      <c r="H19" s="26">
        <v>100</v>
      </c>
      <c r="I19" s="23">
        <v>100</v>
      </c>
      <c r="J19" s="27">
        <v>100</v>
      </c>
      <c r="K19" s="25">
        <v>100</v>
      </c>
      <c r="L19" s="26">
        <v>100</v>
      </c>
      <c r="M19" s="25">
        <v>100</v>
      </c>
      <c r="N19" s="26">
        <v>100</v>
      </c>
      <c r="O19" s="23">
        <v>100</v>
      </c>
      <c r="P19" s="27">
        <v>100</v>
      </c>
      <c r="Q19" s="97">
        <v>100</v>
      </c>
      <c r="R19" s="26">
        <v>100</v>
      </c>
      <c r="S19" s="25">
        <v>100</v>
      </c>
      <c r="T19" s="26">
        <v>100</v>
      </c>
      <c r="U19" s="23">
        <v>100</v>
      </c>
      <c r="V19" s="27">
        <v>100</v>
      </c>
      <c r="W19" s="23">
        <v>100</v>
      </c>
      <c r="X19" s="27">
        <v>100</v>
      </c>
      <c r="Y19" s="25">
        <v>100</v>
      </c>
      <c r="Z19" s="26">
        <v>100</v>
      </c>
      <c r="AA19" s="23"/>
      <c r="AB19" s="27">
        <v>100</v>
      </c>
      <c r="AC19" s="23">
        <v>100</v>
      </c>
      <c r="AD19" s="27">
        <v>100</v>
      </c>
      <c r="AE19" s="25">
        <v>100</v>
      </c>
    </row>
    <row r="20" spans="1:31" ht="15.75" customHeight="1" x14ac:dyDescent="0.25">
      <c r="A20" s="58"/>
      <c r="B20" s="370"/>
      <c r="C20" s="62" t="s">
        <v>46</v>
      </c>
      <c r="D20" s="26">
        <v>10000</v>
      </c>
      <c r="E20" s="23">
        <v>10000</v>
      </c>
      <c r="F20" s="27">
        <v>10000</v>
      </c>
      <c r="G20" s="25">
        <v>10000</v>
      </c>
      <c r="H20" s="26">
        <v>10000</v>
      </c>
      <c r="I20" s="23">
        <v>10000</v>
      </c>
      <c r="J20" s="27">
        <v>10000</v>
      </c>
      <c r="K20" s="25">
        <v>10000</v>
      </c>
      <c r="L20" s="26">
        <v>10000</v>
      </c>
      <c r="M20" s="25">
        <v>10000</v>
      </c>
      <c r="N20" s="26">
        <v>10000</v>
      </c>
      <c r="O20" s="23">
        <v>10000</v>
      </c>
      <c r="P20" s="27">
        <v>10000</v>
      </c>
      <c r="Q20" s="97">
        <v>10000</v>
      </c>
      <c r="R20" s="26">
        <v>10000</v>
      </c>
      <c r="S20" s="25">
        <v>10000</v>
      </c>
      <c r="T20" s="26">
        <v>10000</v>
      </c>
      <c r="U20" s="23">
        <v>10000</v>
      </c>
      <c r="V20" s="27">
        <v>10000</v>
      </c>
      <c r="W20" s="23">
        <v>10000</v>
      </c>
      <c r="X20" s="27">
        <v>10000</v>
      </c>
      <c r="Y20" s="25">
        <v>10000</v>
      </c>
      <c r="Z20" s="26">
        <v>10000</v>
      </c>
      <c r="AA20" s="23"/>
      <c r="AB20" s="27">
        <v>10000</v>
      </c>
      <c r="AC20" s="23">
        <v>10000</v>
      </c>
      <c r="AD20" s="27">
        <v>10000</v>
      </c>
      <c r="AE20" s="25">
        <v>10000</v>
      </c>
    </row>
    <row r="21" spans="1:31" ht="15.75" customHeight="1" x14ac:dyDescent="0.25">
      <c r="A21" s="58"/>
      <c r="B21" s="370"/>
      <c r="C21" s="63" t="s">
        <v>47</v>
      </c>
      <c r="D21" s="26">
        <v>50000</v>
      </c>
      <c r="E21" s="28">
        <v>50000</v>
      </c>
      <c r="F21" s="27">
        <v>50000</v>
      </c>
      <c r="G21" s="28">
        <v>50000</v>
      </c>
      <c r="H21" s="27">
        <v>50000</v>
      </c>
      <c r="I21" s="28">
        <v>50000</v>
      </c>
      <c r="J21" s="27">
        <v>50000</v>
      </c>
      <c r="K21" s="29">
        <v>50000</v>
      </c>
      <c r="L21" s="26">
        <v>50000</v>
      </c>
      <c r="M21" s="29">
        <v>50000</v>
      </c>
      <c r="N21" s="26">
        <v>50000</v>
      </c>
      <c r="O21" s="28">
        <v>50000</v>
      </c>
      <c r="P21" s="27">
        <v>50000</v>
      </c>
      <c r="Q21" s="99">
        <v>50000</v>
      </c>
      <c r="R21" s="26">
        <v>50000</v>
      </c>
      <c r="S21" s="29">
        <v>50000</v>
      </c>
      <c r="T21" s="26">
        <v>50000</v>
      </c>
      <c r="U21" s="28">
        <v>50000</v>
      </c>
      <c r="V21" s="27">
        <v>50000</v>
      </c>
      <c r="W21" s="28">
        <v>50000</v>
      </c>
      <c r="X21" s="27">
        <v>50000</v>
      </c>
      <c r="Y21" s="29">
        <v>50000</v>
      </c>
      <c r="Z21" s="26">
        <v>50000</v>
      </c>
      <c r="AA21" s="28"/>
      <c r="AB21" s="27">
        <v>50000</v>
      </c>
      <c r="AC21" s="28">
        <v>50000</v>
      </c>
      <c r="AD21" s="27">
        <v>50000</v>
      </c>
      <c r="AE21" s="29">
        <v>50000</v>
      </c>
    </row>
    <row r="22" spans="1:31" ht="15.75" customHeight="1" x14ac:dyDescent="0.25">
      <c r="A22" s="58"/>
      <c r="B22" s="370"/>
      <c r="C22" s="64" t="s">
        <v>48</v>
      </c>
      <c r="D22" s="26" t="s">
        <v>33</v>
      </c>
      <c r="E22" s="23" t="s">
        <v>33</v>
      </c>
      <c r="F22" s="27" t="s">
        <v>33</v>
      </c>
      <c r="G22" s="25" t="s">
        <v>33</v>
      </c>
      <c r="H22" s="26" t="s">
        <v>33</v>
      </c>
      <c r="I22" s="23" t="s">
        <v>33</v>
      </c>
      <c r="J22" s="27" t="s">
        <v>33</v>
      </c>
      <c r="K22" s="25" t="s">
        <v>33</v>
      </c>
      <c r="L22" s="26" t="s">
        <v>33</v>
      </c>
      <c r="M22" s="25" t="s">
        <v>33</v>
      </c>
      <c r="N22" s="26" t="s">
        <v>33</v>
      </c>
      <c r="O22" s="23" t="s">
        <v>33</v>
      </c>
      <c r="P22" s="27" t="s">
        <v>33</v>
      </c>
      <c r="Q22" s="97" t="s">
        <v>33</v>
      </c>
      <c r="R22" s="26" t="s">
        <v>33</v>
      </c>
      <c r="S22" s="25" t="s">
        <v>33</v>
      </c>
      <c r="T22" s="26" t="s">
        <v>33</v>
      </c>
      <c r="U22" s="23" t="s">
        <v>33</v>
      </c>
      <c r="V22" s="27" t="s">
        <v>33</v>
      </c>
      <c r="W22" s="23" t="s">
        <v>33</v>
      </c>
      <c r="X22" s="27" t="s">
        <v>33</v>
      </c>
      <c r="Y22" s="25" t="s">
        <v>33</v>
      </c>
      <c r="Z22" s="26" t="s">
        <v>33</v>
      </c>
      <c r="AA22" s="23"/>
      <c r="AB22" s="27" t="s">
        <v>33</v>
      </c>
      <c r="AC22" s="23" t="s">
        <v>33</v>
      </c>
      <c r="AD22" s="27" t="s">
        <v>33</v>
      </c>
      <c r="AE22" s="25" t="s">
        <v>33</v>
      </c>
    </row>
    <row r="23" spans="1:31" ht="15.75" customHeight="1" x14ac:dyDescent="0.25">
      <c r="A23" s="58"/>
      <c r="B23" s="371"/>
      <c r="C23" s="63" t="s">
        <v>49</v>
      </c>
      <c r="D23" s="26" t="s">
        <v>33</v>
      </c>
      <c r="E23" s="23" t="s">
        <v>33</v>
      </c>
      <c r="F23" s="27" t="s">
        <v>33</v>
      </c>
      <c r="G23" s="25" t="s">
        <v>33</v>
      </c>
      <c r="H23" s="26" t="s">
        <v>33</v>
      </c>
      <c r="I23" s="30" t="s">
        <v>42</v>
      </c>
      <c r="J23" s="27" t="s">
        <v>33</v>
      </c>
      <c r="K23" s="31" t="s">
        <v>42</v>
      </c>
      <c r="L23" s="26" t="s">
        <v>33</v>
      </c>
      <c r="M23" s="25" t="s">
        <v>33</v>
      </c>
      <c r="N23" s="26" t="s">
        <v>33</v>
      </c>
      <c r="O23" s="23" t="s">
        <v>33</v>
      </c>
      <c r="P23" s="27" t="s">
        <v>33</v>
      </c>
      <c r="Q23" s="100" t="s">
        <v>42</v>
      </c>
      <c r="R23" s="26" t="s">
        <v>33</v>
      </c>
      <c r="S23" s="25" t="s">
        <v>33</v>
      </c>
      <c r="T23" s="26" t="s">
        <v>33</v>
      </c>
      <c r="U23" s="23" t="s">
        <v>33</v>
      </c>
      <c r="V23" s="27" t="s">
        <v>33</v>
      </c>
      <c r="W23" s="30" t="s">
        <v>42</v>
      </c>
      <c r="X23" s="27" t="s">
        <v>33</v>
      </c>
      <c r="Y23" s="31" t="s">
        <v>42</v>
      </c>
      <c r="Z23" s="26" t="s">
        <v>33</v>
      </c>
      <c r="AA23" s="23"/>
      <c r="AB23" s="27" t="s">
        <v>33</v>
      </c>
      <c r="AC23" s="30" t="s">
        <v>42</v>
      </c>
      <c r="AD23" s="27" t="s">
        <v>33</v>
      </c>
      <c r="AE23" s="31" t="s">
        <v>42</v>
      </c>
    </row>
    <row r="24" spans="1:31" ht="15.75" customHeight="1" x14ac:dyDescent="0.25">
      <c r="A24" s="58"/>
      <c r="B24" s="116" t="s">
        <v>50</v>
      </c>
      <c r="C24" s="64" t="s">
        <v>51</v>
      </c>
      <c r="D24" s="22" t="s">
        <v>33</v>
      </c>
      <c r="E24" s="23" t="s">
        <v>33</v>
      </c>
      <c r="F24" s="24" t="s">
        <v>33</v>
      </c>
      <c r="G24" s="25" t="s">
        <v>33</v>
      </c>
      <c r="H24" s="22" t="s">
        <v>33</v>
      </c>
      <c r="I24" s="23" t="s">
        <v>33</v>
      </c>
      <c r="J24" s="24" t="s">
        <v>33</v>
      </c>
      <c r="K24" s="25" t="s">
        <v>33</v>
      </c>
      <c r="L24" s="22" t="s">
        <v>33</v>
      </c>
      <c r="M24" s="25" t="s">
        <v>33</v>
      </c>
      <c r="N24" s="22" t="s">
        <v>33</v>
      </c>
      <c r="O24" s="23" t="s">
        <v>33</v>
      </c>
      <c r="P24" s="24" t="s">
        <v>33</v>
      </c>
      <c r="Q24" s="97" t="s">
        <v>33</v>
      </c>
      <c r="R24" s="22" t="s">
        <v>33</v>
      </c>
      <c r="S24" s="25" t="s">
        <v>33</v>
      </c>
      <c r="T24" s="22" t="s">
        <v>33</v>
      </c>
      <c r="U24" s="23" t="s">
        <v>33</v>
      </c>
      <c r="V24" s="24" t="s">
        <v>33</v>
      </c>
      <c r="W24" s="23" t="s">
        <v>33</v>
      </c>
      <c r="X24" s="24" t="s">
        <v>33</v>
      </c>
      <c r="Y24" s="25" t="s">
        <v>33</v>
      </c>
      <c r="Z24" s="22" t="s">
        <v>33</v>
      </c>
      <c r="AA24" s="23"/>
      <c r="AB24" s="24" t="s">
        <v>33</v>
      </c>
      <c r="AC24" s="23" t="s">
        <v>33</v>
      </c>
      <c r="AD24" s="24" t="s">
        <v>33</v>
      </c>
      <c r="AE24" s="25" t="s">
        <v>33</v>
      </c>
    </row>
    <row r="25" spans="1:31" ht="15.75" customHeight="1" x14ac:dyDescent="0.25">
      <c r="A25" s="58"/>
      <c r="B25" s="372" t="s">
        <v>52</v>
      </c>
      <c r="C25" s="62" t="s">
        <v>53</v>
      </c>
      <c r="D25" s="32" t="s">
        <v>42</v>
      </c>
      <c r="E25" s="33" t="s">
        <v>42</v>
      </c>
      <c r="F25" s="34" t="s">
        <v>42</v>
      </c>
      <c r="G25" s="35" t="s">
        <v>42</v>
      </c>
      <c r="H25" s="32" t="s">
        <v>33</v>
      </c>
      <c r="I25" s="33" t="s">
        <v>33</v>
      </c>
      <c r="J25" s="34" t="s">
        <v>33</v>
      </c>
      <c r="K25" s="35" t="s">
        <v>33</v>
      </c>
      <c r="L25" s="32" t="s">
        <v>42</v>
      </c>
      <c r="M25" s="35" t="s">
        <v>42</v>
      </c>
      <c r="N25" s="32" t="s">
        <v>42</v>
      </c>
      <c r="O25" s="33" t="s">
        <v>42</v>
      </c>
      <c r="P25" s="34" t="s">
        <v>33</v>
      </c>
      <c r="Q25" s="101" t="s">
        <v>33</v>
      </c>
      <c r="R25" s="32" t="s">
        <v>42</v>
      </c>
      <c r="S25" s="35" t="s">
        <v>42</v>
      </c>
      <c r="T25" s="32" t="s">
        <v>42</v>
      </c>
      <c r="U25" s="33" t="s">
        <v>42</v>
      </c>
      <c r="V25" s="34" t="s">
        <v>33</v>
      </c>
      <c r="W25" s="33" t="s">
        <v>33</v>
      </c>
      <c r="X25" s="34" t="s">
        <v>33</v>
      </c>
      <c r="Y25" s="35" t="s">
        <v>33</v>
      </c>
      <c r="Z25" s="32" t="s">
        <v>42</v>
      </c>
      <c r="AA25" s="33"/>
      <c r="AB25" s="34" t="s">
        <v>33</v>
      </c>
      <c r="AC25" s="33" t="s">
        <v>33</v>
      </c>
      <c r="AD25" s="34" t="s">
        <v>33</v>
      </c>
      <c r="AE25" s="35" t="s">
        <v>33</v>
      </c>
    </row>
    <row r="26" spans="1:31" ht="15.75" customHeight="1" x14ac:dyDescent="0.25">
      <c r="A26" s="58"/>
      <c r="B26" s="370"/>
      <c r="C26" s="62" t="s">
        <v>54</v>
      </c>
      <c r="D26" s="26">
        <v>1024</v>
      </c>
      <c r="E26" s="30">
        <v>512</v>
      </c>
      <c r="F26" s="27" t="s">
        <v>33</v>
      </c>
      <c r="G26" s="25" t="s">
        <v>33</v>
      </c>
      <c r="H26" s="26">
        <v>1024</v>
      </c>
      <c r="I26" s="23">
        <v>1024</v>
      </c>
      <c r="J26" s="27">
        <v>1024</v>
      </c>
      <c r="K26" s="25">
        <v>1024</v>
      </c>
      <c r="L26" s="26">
        <v>1024</v>
      </c>
      <c r="M26" s="31">
        <v>512</v>
      </c>
      <c r="N26" s="26">
        <v>1024</v>
      </c>
      <c r="O26" s="30">
        <v>512</v>
      </c>
      <c r="P26" s="27">
        <v>1024</v>
      </c>
      <c r="Q26" s="97">
        <v>1024</v>
      </c>
      <c r="R26" s="26">
        <v>1024</v>
      </c>
      <c r="S26" s="31">
        <v>512</v>
      </c>
      <c r="T26" s="26">
        <v>1024</v>
      </c>
      <c r="U26" s="30">
        <v>512</v>
      </c>
      <c r="V26" s="27">
        <v>1024</v>
      </c>
      <c r="W26" s="23">
        <v>1024</v>
      </c>
      <c r="X26" s="27">
        <v>1024</v>
      </c>
      <c r="Y26" s="25">
        <v>1024</v>
      </c>
      <c r="Z26" s="26">
        <v>1024</v>
      </c>
      <c r="AA26" s="23"/>
      <c r="AB26" s="27">
        <v>1024</v>
      </c>
      <c r="AC26" s="23">
        <v>1024</v>
      </c>
      <c r="AD26" s="27">
        <v>1024</v>
      </c>
      <c r="AE26" s="25">
        <v>1024</v>
      </c>
    </row>
    <row r="27" spans="1:31" ht="15.75" customHeight="1" x14ac:dyDescent="0.25">
      <c r="A27" s="58"/>
      <c r="B27" s="370"/>
      <c r="C27" s="62" t="s">
        <v>55</v>
      </c>
      <c r="D27" s="26">
        <v>1024</v>
      </c>
      <c r="E27" s="30">
        <v>128</v>
      </c>
      <c r="F27" s="27" t="s">
        <v>33</v>
      </c>
      <c r="G27" s="25" t="s">
        <v>33</v>
      </c>
      <c r="H27" s="26">
        <v>1024</v>
      </c>
      <c r="I27" s="23">
        <v>1024</v>
      </c>
      <c r="J27" s="27">
        <v>1024</v>
      </c>
      <c r="K27" s="25">
        <v>1024</v>
      </c>
      <c r="L27" s="26">
        <v>1024</v>
      </c>
      <c r="M27" s="31">
        <v>128</v>
      </c>
      <c r="N27" s="26">
        <v>1024</v>
      </c>
      <c r="O27" s="30">
        <v>128</v>
      </c>
      <c r="P27" s="27">
        <v>1024</v>
      </c>
      <c r="Q27" s="97">
        <v>1024</v>
      </c>
      <c r="R27" s="26">
        <v>1024</v>
      </c>
      <c r="S27" s="31">
        <v>128</v>
      </c>
      <c r="T27" s="26">
        <v>1024</v>
      </c>
      <c r="U27" s="30">
        <v>128</v>
      </c>
      <c r="V27" s="27">
        <v>1024</v>
      </c>
      <c r="W27" s="23">
        <v>1024</v>
      </c>
      <c r="X27" s="27">
        <v>1024</v>
      </c>
      <c r="Y27" s="25">
        <v>1024</v>
      </c>
      <c r="Z27" s="26">
        <v>1024</v>
      </c>
      <c r="AA27" s="23"/>
      <c r="AB27" s="27">
        <v>1024</v>
      </c>
      <c r="AC27" s="23">
        <v>1024</v>
      </c>
      <c r="AD27" s="27">
        <v>1024</v>
      </c>
      <c r="AE27" s="25">
        <v>1024</v>
      </c>
    </row>
    <row r="28" spans="1:31" ht="15.75" customHeight="1" x14ac:dyDescent="0.25">
      <c r="A28" s="58"/>
      <c r="B28" s="370"/>
      <c r="C28" s="62" t="s">
        <v>56</v>
      </c>
      <c r="D28" s="26" t="s">
        <v>33</v>
      </c>
      <c r="E28" s="23" t="s">
        <v>33</v>
      </c>
      <c r="F28" s="27" t="s">
        <v>33</v>
      </c>
      <c r="G28" s="25" t="s">
        <v>33</v>
      </c>
      <c r="H28" s="26">
        <v>1024</v>
      </c>
      <c r="I28" s="23">
        <v>1024</v>
      </c>
      <c r="J28" s="27">
        <v>1024</v>
      </c>
      <c r="K28" s="25">
        <v>1024</v>
      </c>
      <c r="L28" s="26" t="s">
        <v>33</v>
      </c>
      <c r="M28" s="25" t="s">
        <v>33</v>
      </c>
      <c r="N28" s="26" t="s">
        <v>33</v>
      </c>
      <c r="O28" s="23" t="s">
        <v>33</v>
      </c>
      <c r="P28" s="27">
        <v>1024</v>
      </c>
      <c r="Q28" s="97">
        <v>1024</v>
      </c>
      <c r="R28" s="26" t="s">
        <v>33</v>
      </c>
      <c r="S28" s="25" t="s">
        <v>33</v>
      </c>
      <c r="T28" s="26" t="s">
        <v>33</v>
      </c>
      <c r="U28" s="23" t="s">
        <v>33</v>
      </c>
      <c r="V28" s="27">
        <v>1024</v>
      </c>
      <c r="W28" s="23">
        <v>1024</v>
      </c>
      <c r="X28" s="27">
        <v>1024</v>
      </c>
      <c r="Y28" s="25">
        <v>1024</v>
      </c>
      <c r="Z28" s="26" t="s">
        <v>33</v>
      </c>
      <c r="AA28" s="23"/>
      <c r="AB28" s="27">
        <v>1024</v>
      </c>
      <c r="AC28" s="23">
        <v>1024</v>
      </c>
      <c r="AD28" s="27">
        <v>1024</v>
      </c>
      <c r="AE28" s="25">
        <v>1024</v>
      </c>
    </row>
    <row r="29" spans="1:31" ht="15.75" customHeight="1" x14ac:dyDescent="0.25">
      <c r="A29" s="58"/>
      <c r="B29" s="370"/>
      <c r="C29" s="62" t="s">
        <v>57</v>
      </c>
      <c r="D29" s="26">
        <v>2</v>
      </c>
      <c r="E29" s="30">
        <v>1</v>
      </c>
      <c r="F29" s="27">
        <v>2</v>
      </c>
      <c r="G29" s="31">
        <v>1</v>
      </c>
      <c r="H29" s="26">
        <v>2</v>
      </c>
      <c r="I29" s="23">
        <v>2</v>
      </c>
      <c r="J29" s="27">
        <v>2</v>
      </c>
      <c r="K29" s="25">
        <v>2</v>
      </c>
      <c r="L29" s="26">
        <v>2</v>
      </c>
      <c r="M29" s="31">
        <v>1</v>
      </c>
      <c r="N29" s="26">
        <v>2</v>
      </c>
      <c r="O29" s="30">
        <v>1</v>
      </c>
      <c r="P29" s="27">
        <v>2</v>
      </c>
      <c r="Q29" s="97">
        <v>2</v>
      </c>
      <c r="R29" s="26">
        <v>7</v>
      </c>
      <c r="S29" s="31">
        <v>3</v>
      </c>
      <c r="T29" s="26">
        <v>2</v>
      </c>
      <c r="U29" s="30">
        <v>1</v>
      </c>
      <c r="V29" s="27">
        <v>2</v>
      </c>
      <c r="W29" s="23">
        <v>2</v>
      </c>
      <c r="X29" s="27">
        <v>2</v>
      </c>
      <c r="Y29" s="25">
        <v>2</v>
      </c>
      <c r="Z29" s="26">
        <v>2</v>
      </c>
      <c r="AA29" s="23"/>
      <c r="AB29" s="27">
        <v>2</v>
      </c>
      <c r="AC29" s="23">
        <v>2</v>
      </c>
      <c r="AD29" s="27">
        <v>2</v>
      </c>
      <c r="AE29" s="25">
        <v>2</v>
      </c>
    </row>
    <row r="30" spans="1:31" ht="15.75" customHeight="1" x14ac:dyDescent="0.25">
      <c r="A30" s="58"/>
      <c r="B30" s="370"/>
      <c r="C30" s="62" t="s">
        <v>58</v>
      </c>
      <c r="D30" s="26">
        <v>1024</v>
      </c>
      <c r="E30" s="30">
        <v>128</v>
      </c>
      <c r="F30" s="27" t="s">
        <v>33</v>
      </c>
      <c r="G30" s="25" t="s">
        <v>33</v>
      </c>
      <c r="H30" s="26">
        <v>1024</v>
      </c>
      <c r="I30" s="30">
        <v>128</v>
      </c>
      <c r="J30" s="27">
        <v>1024</v>
      </c>
      <c r="K30" s="25">
        <v>1024</v>
      </c>
      <c r="L30" s="26">
        <v>1024</v>
      </c>
      <c r="M30" s="25">
        <v>1024</v>
      </c>
      <c r="N30" s="26">
        <v>1024</v>
      </c>
      <c r="O30" s="23">
        <v>1024</v>
      </c>
      <c r="P30" s="27">
        <v>1024</v>
      </c>
      <c r="Q30" s="97">
        <v>1024</v>
      </c>
      <c r="R30" s="26">
        <v>1024</v>
      </c>
      <c r="S30" s="31">
        <v>128</v>
      </c>
      <c r="T30" s="26">
        <v>1024</v>
      </c>
      <c r="U30" s="36">
        <v>1024</v>
      </c>
      <c r="V30" s="27">
        <v>1024</v>
      </c>
      <c r="W30" s="23">
        <v>1024</v>
      </c>
      <c r="X30" s="27">
        <v>1024</v>
      </c>
      <c r="Y30" s="25">
        <v>1024</v>
      </c>
      <c r="Z30" s="26">
        <v>1024</v>
      </c>
      <c r="AA30" s="23"/>
      <c r="AB30" s="27">
        <v>1024</v>
      </c>
      <c r="AC30" s="23">
        <v>1024</v>
      </c>
      <c r="AD30" s="27">
        <v>1024</v>
      </c>
      <c r="AE30" s="25">
        <v>1024</v>
      </c>
    </row>
    <row r="31" spans="1:31" ht="15.75" customHeight="1" x14ac:dyDescent="0.25">
      <c r="A31" s="58"/>
      <c r="B31" s="370"/>
      <c r="C31" s="62" t="s">
        <v>59</v>
      </c>
      <c r="D31" s="26">
        <v>2</v>
      </c>
      <c r="E31" s="30">
        <v>1</v>
      </c>
      <c r="F31" s="27">
        <v>2</v>
      </c>
      <c r="G31" s="31">
        <v>1</v>
      </c>
      <c r="H31" s="26">
        <v>2</v>
      </c>
      <c r="I31" s="30">
        <v>1</v>
      </c>
      <c r="J31" s="27">
        <v>2</v>
      </c>
      <c r="K31" s="31">
        <v>1</v>
      </c>
      <c r="L31" s="26">
        <v>2</v>
      </c>
      <c r="M31" s="31">
        <v>1</v>
      </c>
      <c r="N31" s="26">
        <v>2</v>
      </c>
      <c r="O31" s="30">
        <v>1</v>
      </c>
      <c r="P31" s="27">
        <v>2</v>
      </c>
      <c r="Q31" s="100">
        <v>1</v>
      </c>
      <c r="R31" s="26">
        <v>2</v>
      </c>
      <c r="S31" s="31">
        <v>1</v>
      </c>
      <c r="T31" s="26">
        <v>2</v>
      </c>
      <c r="U31" s="30">
        <v>1</v>
      </c>
      <c r="V31" s="27">
        <v>2</v>
      </c>
      <c r="W31" s="30">
        <v>1</v>
      </c>
      <c r="X31" s="27">
        <v>2</v>
      </c>
      <c r="Y31" s="31">
        <v>1</v>
      </c>
      <c r="Z31" s="26">
        <v>2</v>
      </c>
      <c r="AA31" s="23"/>
      <c r="AB31" s="27">
        <v>2</v>
      </c>
      <c r="AC31" s="30">
        <v>1</v>
      </c>
      <c r="AD31" s="27">
        <v>2</v>
      </c>
      <c r="AE31" s="31">
        <v>1</v>
      </c>
    </row>
    <row r="32" spans="1:31" ht="15.75" customHeight="1" x14ac:dyDescent="0.25">
      <c r="A32" s="58"/>
      <c r="B32" s="370"/>
      <c r="C32" s="62" t="s">
        <v>60</v>
      </c>
      <c r="D32" s="26">
        <v>4</v>
      </c>
      <c r="E32" s="30">
        <v>1</v>
      </c>
      <c r="F32" s="27">
        <v>2</v>
      </c>
      <c r="G32" s="31">
        <v>1</v>
      </c>
      <c r="H32" s="26">
        <v>2</v>
      </c>
      <c r="I32" s="30">
        <v>1</v>
      </c>
      <c r="J32" s="27">
        <v>4</v>
      </c>
      <c r="K32" s="31">
        <v>1</v>
      </c>
      <c r="L32" s="26">
        <v>4</v>
      </c>
      <c r="M32" s="31">
        <v>1</v>
      </c>
      <c r="N32" s="26">
        <v>4</v>
      </c>
      <c r="O32" s="30">
        <v>1</v>
      </c>
      <c r="P32" s="27">
        <v>2</v>
      </c>
      <c r="Q32" s="100">
        <v>1</v>
      </c>
      <c r="R32" s="26">
        <v>4</v>
      </c>
      <c r="S32" s="25">
        <v>4</v>
      </c>
      <c r="T32" s="26">
        <v>4</v>
      </c>
      <c r="U32" s="30">
        <v>1</v>
      </c>
      <c r="V32" s="27">
        <v>2</v>
      </c>
      <c r="W32" s="30">
        <v>1</v>
      </c>
      <c r="X32" s="27">
        <v>4</v>
      </c>
      <c r="Y32" s="31">
        <v>1</v>
      </c>
      <c r="Z32" s="26">
        <v>4</v>
      </c>
      <c r="AA32" s="23"/>
      <c r="AB32" s="27">
        <v>2</v>
      </c>
      <c r="AC32" s="30">
        <v>1</v>
      </c>
      <c r="AD32" s="27">
        <v>4</v>
      </c>
      <c r="AE32" s="31">
        <v>1</v>
      </c>
    </row>
    <row r="33" spans="1:31" ht="15.75" customHeight="1" x14ac:dyDescent="0.25">
      <c r="A33" s="58"/>
      <c r="B33" s="370"/>
      <c r="C33" s="62" t="s">
        <v>61</v>
      </c>
      <c r="D33" s="26">
        <v>8</v>
      </c>
      <c r="E33" s="30">
        <v>1</v>
      </c>
      <c r="F33" s="27">
        <v>8</v>
      </c>
      <c r="G33" s="31">
        <v>1</v>
      </c>
      <c r="H33" s="26">
        <v>8</v>
      </c>
      <c r="I33" s="30">
        <v>1</v>
      </c>
      <c r="J33" s="27">
        <v>8</v>
      </c>
      <c r="K33" s="31">
        <v>1</v>
      </c>
      <c r="L33" s="26">
        <v>8</v>
      </c>
      <c r="M33" s="31">
        <v>1</v>
      </c>
      <c r="N33" s="26">
        <v>8</v>
      </c>
      <c r="O33" s="30">
        <v>1</v>
      </c>
      <c r="P33" s="27">
        <v>8</v>
      </c>
      <c r="Q33" s="100">
        <v>1</v>
      </c>
      <c r="R33" s="26">
        <v>8</v>
      </c>
      <c r="S33" s="31">
        <v>4</v>
      </c>
      <c r="T33" s="26">
        <v>8</v>
      </c>
      <c r="U33" s="30">
        <v>1</v>
      </c>
      <c r="V33" s="27">
        <v>8</v>
      </c>
      <c r="W33" s="30">
        <v>1</v>
      </c>
      <c r="X33" s="27">
        <v>8</v>
      </c>
      <c r="Y33" s="31">
        <v>1</v>
      </c>
      <c r="Z33" s="26">
        <v>8</v>
      </c>
      <c r="AA33" s="23"/>
      <c r="AB33" s="27">
        <v>8</v>
      </c>
      <c r="AC33" s="30">
        <v>1</v>
      </c>
      <c r="AD33" s="27">
        <v>8</v>
      </c>
      <c r="AE33" s="31">
        <v>1</v>
      </c>
    </row>
    <row r="34" spans="1:31" ht="15.75" customHeight="1" x14ac:dyDescent="0.25">
      <c r="A34" s="58"/>
      <c r="B34" s="370"/>
      <c r="C34" s="62" t="s">
        <v>62</v>
      </c>
      <c r="D34" s="26">
        <v>80</v>
      </c>
      <c r="E34" s="30">
        <v>3</v>
      </c>
      <c r="F34" s="27">
        <v>80</v>
      </c>
      <c r="G34" s="31">
        <v>3</v>
      </c>
      <c r="H34" s="26">
        <v>80</v>
      </c>
      <c r="I34" s="23">
        <v>80</v>
      </c>
      <c r="J34" s="27">
        <v>80</v>
      </c>
      <c r="K34" s="25">
        <v>80</v>
      </c>
      <c r="L34" s="26">
        <v>80</v>
      </c>
      <c r="M34" s="31">
        <v>3</v>
      </c>
      <c r="N34" s="26">
        <v>80</v>
      </c>
      <c r="O34" s="30">
        <v>4</v>
      </c>
      <c r="P34" s="27">
        <v>80</v>
      </c>
      <c r="Q34" s="97">
        <v>80</v>
      </c>
      <c r="R34" s="26">
        <v>80</v>
      </c>
      <c r="S34" s="31">
        <v>10</v>
      </c>
      <c r="T34" s="26">
        <v>80</v>
      </c>
      <c r="U34" s="30">
        <v>2</v>
      </c>
      <c r="V34" s="27">
        <v>80</v>
      </c>
      <c r="W34" s="23">
        <v>80</v>
      </c>
      <c r="X34" s="27">
        <v>80</v>
      </c>
      <c r="Y34" s="25">
        <v>80</v>
      </c>
      <c r="Z34" s="26">
        <v>80</v>
      </c>
      <c r="AA34" s="23"/>
      <c r="AB34" s="27">
        <v>80</v>
      </c>
      <c r="AC34" s="23">
        <v>80</v>
      </c>
      <c r="AD34" s="27">
        <v>80</v>
      </c>
      <c r="AE34" s="25">
        <v>80</v>
      </c>
    </row>
    <row r="35" spans="1:31" ht="15.75" customHeight="1" x14ac:dyDescent="0.25">
      <c r="A35" s="58"/>
      <c r="B35" s="370"/>
      <c r="C35" s="62" t="s">
        <v>63</v>
      </c>
      <c r="D35" s="26">
        <v>32</v>
      </c>
      <c r="E35" s="30">
        <v>1</v>
      </c>
      <c r="F35" s="27">
        <v>32</v>
      </c>
      <c r="G35" s="31">
        <v>1</v>
      </c>
      <c r="H35" s="26">
        <v>32</v>
      </c>
      <c r="I35" s="23">
        <v>32</v>
      </c>
      <c r="J35" s="27">
        <v>32</v>
      </c>
      <c r="K35" s="25">
        <v>32</v>
      </c>
      <c r="L35" s="26">
        <v>32</v>
      </c>
      <c r="M35" s="31">
        <v>1</v>
      </c>
      <c r="N35" s="26">
        <v>32</v>
      </c>
      <c r="O35" s="30">
        <v>1</v>
      </c>
      <c r="P35" s="27">
        <v>32</v>
      </c>
      <c r="Q35" s="97">
        <v>32</v>
      </c>
      <c r="R35" s="26">
        <v>32</v>
      </c>
      <c r="S35" s="31">
        <v>1</v>
      </c>
      <c r="T35" s="26">
        <v>32</v>
      </c>
      <c r="U35" s="30">
        <v>1</v>
      </c>
      <c r="V35" s="27">
        <v>32</v>
      </c>
      <c r="W35" s="23">
        <v>32</v>
      </c>
      <c r="X35" s="27">
        <v>32</v>
      </c>
      <c r="Y35" s="25">
        <v>32</v>
      </c>
      <c r="Z35" s="26">
        <v>32</v>
      </c>
      <c r="AA35" s="23"/>
      <c r="AB35" s="27">
        <v>32</v>
      </c>
      <c r="AC35" s="23">
        <v>32</v>
      </c>
      <c r="AD35" s="27">
        <v>32</v>
      </c>
      <c r="AE35" s="25">
        <v>32</v>
      </c>
    </row>
    <row r="36" spans="1:31" ht="15.75" customHeight="1" x14ac:dyDescent="0.25">
      <c r="A36" s="58"/>
      <c r="B36" s="370"/>
      <c r="C36" s="62" t="s">
        <v>64</v>
      </c>
      <c r="D36" s="26">
        <v>2</v>
      </c>
      <c r="E36" s="23">
        <v>2</v>
      </c>
      <c r="F36" s="27">
        <v>2</v>
      </c>
      <c r="G36" s="25">
        <v>2</v>
      </c>
      <c r="H36" s="26">
        <v>2</v>
      </c>
      <c r="I36" s="23">
        <v>2</v>
      </c>
      <c r="J36" s="27">
        <v>2</v>
      </c>
      <c r="K36" s="25">
        <v>2</v>
      </c>
      <c r="L36" s="26">
        <v>2</v>
      </c>
      <c r="M36" s="25">
        <v>2</v>
      </c>
      <c r="N36" s="26">
        <v>2</v>
      </c>
      <c r="O36" s="23">
        <v>2</v>
      </c>
      <c r="P36" s="27">
        <v>2</v>
      </c>
      <c r="Q36" s="97">
        <v>2</v>
      </c>
      <c r="R36" s="26">
        <v>2</v>
      </c>
      <c r="S36" s="25">
        <v>2</v>
      </c>
      <c r="T36" s="26">
        <v>2</v>
      </c>
      <c r="U36" s="30">
        <v>1</v>
      </c>
      <c r="V36" s="27">
        <v>2</v>
      </c>
      <c r="W36" s="23">
        <v>2</v>
      </c>
      <c r="X36" s="27">
        <v>2</v>
      </c>
      <c r="Y36" s="25">
        <v>2</v>
      </c>
      <c r="Z36" s="26">
        <v>2</v>
      </c>
      <c r="AA36" s="23"/>
      <c r="AB36" s="27">
        <v>2</v>
      </c>
      <c r="AC36" s="23">
        <v>2</v>
      </c>
      <c r="AD36" s="27">
        <v>2</v>
      </c>
      <c r="AE36" s="25">
        <v>2</v>
      </c>
    </row>
    <row r="37" spans="1:31" ht="15.75" customHeight="1" x14ac:dyDescent="0.25">
      <c r="A37" s="58"/>
      <c r="B37" s="371"/>
      <c r="C37" s="62" t="s">
        <v>65</v>
      </c>
      <c r="D37" s="26">
        <v>4</v>
      </c>
      <c r="E37" s="30">
        <v>1</v>
      </c>
      <c r="F37" s="27">
        <v>4</v>
      </c>
      <c r="G37" s="31">
        <v>1</v>
      </c>
      <c r="H37" s="26">
        <v>4</v>
      </c>
      <c r="I37" s="23">
        <v>4</v>
      </c>
      <c r="J37" s="27">
        <v>4</v>
      </c>
      <c r="K37" s="25">
        <v>4</v>
      </c>
      <c r="L37" s="26">
        <v>4</v>
      </c>
      <c r="M37" s="31">
        <v>1</v>
      </c>
      <c r="N37" s="26">
        <v>4</v>
      </c>
      <c r="O37" s="30">
        <v>1</v>
      </c>
      <c r="P37" s="27">
        <v>4</v>
      </c>
      <c r="Q37" s="97">
        <v>4</v>
      </c>
      <c r="R37" s="26">
        <v>4</v>
      </c>
      <c r="S37" s="31">
        <v>1</v>
      </c>
      <c r="T37" s="26">
        <v>4</v>
      </c>
      <c r="U37" s="30">
        <v>1</v>
      </c>
      <c r="V37" s="27">
        <v>4</v>
      </c>
      <c r="W37" s="23">
        <v>4</v>
      </c>
      <c r="X37" s="27">
        <v>4</v>
      </c>
      <c r="Y37" s="25">
        <v>4</v>
      </c>
      <c r="Z37" s="26">
        <v>4</v>
      </c>
      <c r="AA37" s="23"/>
      <c r="AB37" s="27">
        <v>4</v>
      </c>
      <c r="AC37" s="23">
        <v>4</v>
      </c>
      <c r="AD37" s="27">
        <v>4</v>
      </c>
      <c r="AE37" s="25">
        <v>4</v>
      </c>
    </row>
    <row r="38" spans="1:31" ht="15.75" customHeight="1" x14ac:dyDescent="0.25">
      <c r="A38" s="58"/>
      <c r="B38" s="372" t="s">
        <v>66</v>
      </c>
      <c r="C38" s="62" t="s">
        <v>67</v>
      </c>
      <c r="D38" s="22" t="s">
        <v>33</v>
      </c>
      <c r="E38" s="23" t="s">
        <v>33</v>
      </c>
      <c r="F38" s="24" t="s">
        <v>33</v>
      </c>
      <c r="G38" s="25" t="s">
        <v>33</v>
      </c>
      <c r="H38" s="22" t="s">
        <v>42</v>
      </c>
      <c r="I38" s="23" t="s">
        <v>42</v>
      </c>
      <c r="J38" s="24" t="s">
        <v>42</v>
      </c>
      <c r="K38" s="25" t="s">
        <v>42</v>
      </c>
      <c r="L38" s="22" t="s">
        <v>33</v>
      </c>
      <c r="M38" s="25" t="s">
        <v>33</v>
      </c>
      <c r="N38" s="22" t="s">
        <v>33</v>
      </c>
      <c r="O38" s="23" t="s">
        <v>33</v>
      </c>
      <c r="P38" s="24" t="s">
        <v>42</v>
      </c>
      <c r="Q38" s="97" t="s">
        <v>42</v>
      </c>
      <c r="R38" s="22" t="s">
        <v>33</v>
      </c>
      <c r="S38" s="25" t="s">
        <v>33</v>
      </c>
      <c r="T38" s="22" t="s">
        <v>33</v>
      </c>
      <c r="U38" s="23" t="s">
        <v>33</v>
      </c>
      <c r="V38" s="24" t="s">
        <v>42</v>
      </c>
      <c r="W38" s="23" t="s">
        <v>42</v>
      </c>
      <c r="X38" s="24" t="s">
        <v>42</v>
      </c>
      <c r="Y38" s="25" t="s">
        <v>42</v>
      </c>
      <c r="Z38" s="22" t="s">
        <v>33</v>
      </c>
      <c r="AA38" s="23"/>
      <c r="AB38" s="24" t="s">
        <v>42</v>
      </c>
      <c r="AC38" s="23" t="s">
        <v>42</v>
      </c>
      <c r="AD38" s="24" t="s">
        <v>42</v>
      </c>
      <c r="AE38" s="25" t="s">
        <v>42</v>
      </c>
    </row>
    <row r="39" spans="1:31" ht="15.75" customHeight="1" x14ac:dyDescent="0.25">
      <c r="A39" s="58"/>
      <c r="B39" s="370"/>
      <c r="C39" s="62" t="s">
        <v>68</v>
      </c>
      <c r="D39" s="119" t="s">
        <v>33</v>
      </c>
      <c r="E39" s="120" t="s">
        <v>33</v>
      </c>
      <c r="F39" s="119" t="s">
        <v>33</v>
      </c>
      <c r="G39" s="121" t="s">
        <v>33</v>
      </c>
      <c r="H39" s="45">
        <v>256</v>
      </c>
      <c r="I39" s="123">
        <v>128</v>
      </c>
      <c r="J39" s="124">
        <v>256</v>
      </c>
      <c r="K39" s="125">
        <v>128</v>
      </c>
      <c r="L39" s="122" t="s">
        <v>33</v>
      </c>
      <c r="M39" s="121" t="s">
        <v>33</v>
      </c>
      <c r="N39" s="122" t="s">
        <v>33</v>
      </c>
      <c r="O39" s="120" t="s">
        <v>33</v>
      </c>
      <c r="P39" s="124">
        <v>256</v>
      </c>
      <c r="Q39" s="126">
        <v>256</v>
      </c>
      <c r="R39" s="22" t="s">
        <v>33</v>
      </c>
      <c r="S39" s="25" t="s">
        <v>33</v>
      </c>
      <c r="T39" s="22" t="s">
        <v>33</v>
      </c>
      <c r="U39" s="23" t="s">
        <v>33</v>
      </c>
      <c r="V39" s="24">
        <v>196</v>
      </c>
      <c r="W39" s="30">
        <v>150</v>
      </c>
      <c r="X39" s="24">
        <v>196</v>
      </c>
      <c r="Y39" s="31">
        <v>150</v>
      </c>
      <c r="Z39" s="22" t="s">
        <v>33</v>
      </c>
      <c r="AA39" s="23"/>
      <c r="AB39" s="24">
        <v>196</v>
      </c>
      <c r="AC39" s="30">
        <v>150</v>
      </c>
      <c r="AD39" s="24">
        <v>196</v>
      </c>
      <c r="AE39" s="31">
        <v>150</v>
      </c>
    </row>
    <row r="40" spans="1:31" ht="15.75" customHeight="1" x14ac:dyDescent="0.25">
      <c r="A40" s="58"/>
      <c r="B40" s="370"/>
      <c r="C40" s="62" t="s">
        <v>69</v>
      </c>
      <c r="D40" s="26">
        <v>2</v>
      </c>
      <c r="E40" s="30">
        <v>1</v>
      </c>
      <c r="F40" s="27">
        <v>2</v>
      </c>
      <c r="G40" s="31">
        <v>1</v>
      </c>
      <c r="H40" s="26">
        <v>2</v>
      </c>
      <c r="I40" s="30">
        <v>1</v>
      </c>
      <c r="J40" s="27">
        <v>2</v>
      </c>
      <c r="K40" s="31">
        <v>1</v>
      </c>
      <c r="L40" s="26">
        <v>2</v>
      </c>
      <c r="M40" s="31">
        <v>1</v>
      </c>
      <c r="N40" s="26">
        <v>2</v>
      </c>
      <c r="O40" s="30">
        <v>1</v>
      </c>
      <c r="P40" s="27">
        <v>2</v>
      </c>
      <c r="Q40" s="100">
        <v>1</v>
      </c>
      <c r="R40" s="26">
        <v>2</v>
      </c>
      <c r="S40" s="25">
        <v>2</v>
      </c>
      <c r="T40" s="26">
        <v>2</v>
      </c>
      <c r="U40" s="30">
        <v>1</v>
      </c>
      <c r="V40" s="27">
        <v>2</v>
      </c>
      <c r="W40" s="30">
        <v>1</v>
      </c>
      <c r="X40" s="27">
        <v>2</v>
      </c>
      <c r="Y40" s="31">
        <v>1</v>
      </c>
      <c r="Z40" s="26">
        <v>2</v>
      </c>
      <c r="AA40" s="23"/>
      <c r="AB40" s="27">
        <v>2</v>
      </c>
      <c r="AC40" s="30">
        <v>1</v>
      </c>
      <c r="AD40" s="27">
        <v>2</v>
      </c>
      <c r="AE40" s="31">
        <v>1</v>
      </c>
    </row>
    <row r="41" spans="1:31" ht="15.75" customHeight="1" x14ac:dyDescent="0.25">
      <c r="A41" s="58"/>
      <c r="B41" s="370"/>
      <c r="C41" s="62" t="s">
        <v>70</v>
      </c>
      <c r="D41" s="26">
        <v>16</v>
      </c>
      <c r="E41" s="23">
        <v>16</v>
      </c>
      <c r="F41" s="27">
        <v>16</v>
      </c>
      <c r="G41" s="25">
        <v>16</v>
      </c>
      <c r="H41" s="26">
        <v>16</v>
      </c>
      <c r="I41" s="30">
        <v>1</v>
      </c>
      <c r="J41" s="27">
        <v>16</v>
      </c>
      <c r="K41" s="31">
        <v>1</v>
      </c>
      <c r="L41" s="26">
        <v>16</v>
      </c>
      <c r="M41" s="25">
        <v>16</v>
      </c>
      <c r="N41" s="26">
        <v>16</v>
      </c>
      <c r="O41" s="23">
        <v>16</v>
      </c>
      <c r="P41" s="27">
        <v>16</v>
      </c>
      <c r="Q41" s="100">
        <v>1</v>
      </c>
      <c r="R41" s="26">
        <v>16</v>
      </c>
      <c r="S41" s="25">
        <v>16</v>
      </c>
      <c r="T41" s="26">
        <v>16</v>
      </c>
      <c r="U41" s="23">
        <v>16</v>
      </c>
      <c r="V41" s="27">
        <v>16</v>
      </c>
      <c r="W41" s="30">
        <v>2</v>
      </c>
      <c r="X41" s="27">
        <v>16</v>
      </c>
      <c r="Y41" s="31">
        <v>2</v>
      </c>
      <c r="Z41" s="26">
        <v>16</v>
      </c>
      <c r="AA41" s="23"/>
      <c r="AB41" s="27">
        <v>16</v>
      </c>
      <c r="AC41" s="30">
        <v>2</v>
      </c>
      <c r="AD41" s="27">
        <v>16</v>
      </c>
      <c r="AE41" s="31">
        <v>2</v>
      </c>
    </row>
    <row r="42" spans="1:31" ht="15.75" customHeight="1" x14ac:dyDescent="0.25">
      <c r="A42" s="58"/>
      <c r="B42" s="370"/>
      <c r="C42" s="62" t="s">
        <v>71</v>
      </c>
      <c r="D42" s="26">
        <v>0</v>
      </c>
      <c r="E42" s="23">
        <v>0</v>
      </c>
      <c r="F42" s="27">
        <v>0</v>
      </c>
      <c r="G42" s="25">
        <v>0</v>
      </c>
      <c r="H42" s="26">
        <v>0</v>
      </c>
      <c r="I42" s="30">
        <v>1</v>
      </c>
      <c r="J42" s="27">
        <v>0</v>
      </c>
      <c r="K42" s="31">
        <v>1</v>
      </c>
      <c r="L42" s="26">
        <v>0</v>
      </c>
      <c r="M42" s="25">
        <v>0</v>
      </c>
      <c r="N42" s="26">
        <v>0</v>
      </c>
      <c r="O42" s="23">
        <v>0</v>
      </c>
      <c r="P42" s="27">
        <v>0</v>
      </c>
      <c r="Q42" s="100">
        <v>1</v>
      </c>
      <c r="R42" s="26">
        <v>0</v>
      </c>
      <c r="S42" s="25">
        <v>0</v>
      </c>
      <c r="T42" s="26">
        <v>0</v>
      </c>
      <c r="U42" s="23">
        <v>0</v>
      </c>
      <c r="V42" s="27">
        <v>0</v>
      </c>
      <c r="W42" s="30">
        <v>1</v>
      </c>
      <c r="X42" s="27">
        <v>0</v>
      </c>
      <c r="Y42" s="31">
        <v>1</v>
      </c>
      <c r="Z42" s="26">
        <v>0</v>
      </c>
      <c r="AA42" s="23"/>
      <c r="AB42" s="27">
        <v>0</v>
      </c>
      <c r="AC42" s="30">
        <v>1</v>
      </c>
      <c r="AD42" s="27">
        <v>0</v>
      </c>
      <c r="AE42" s="31">
        <v>1</v>
      </c>
    </row>
    <row r="43" spans="1:31" ht="15.75" customHeight="1" x14ac:dyDescent="0.25">
      <c r="A43" s="58"/>
      <c r="B43" s="370"/>
      <c r="C43" s="62" t="s">
        <v>72</v>
      </c>
      <c r="D43" s="26" t="s">
        <v>42</v>
      </c>
      <c r="E43" s="30" t="s">
        <v>33</v>
      </c>
      <c r="F43" s="27" t="s">
        <v>42</v>
      </c>
      <c r="G43" s="31" t="s">
        <v>33</v>
      </c>
      <c r="H43" s="26">
        <v>512</v>
      </c>
      <c r="I43" s="30">
        <v>32</v>
      </c>
      <c r="J43" s="27">
        <v>512</v>
      </c>
      <c r="K43" s="31">
        <v>32</v>
      </c>
      <c r="L43" s="26">
        <v>512</v>
      </c>
      <c r="M43" s="25">
        <v>512</v>
      </c>
      <c r="N43" s="26">
        <v>512</v>
      </c>
      <c r="O43" s="23">
        <v>512</v>
      </c>
      <c r="P43" s="27">
        <v>512</v>
      </c>
      <c r="Q43" s="100">
        <v>64</v>
      </c>
      <c r="R43" s="26">
        <v>512</v>
      </c>
      <c r="S43" s="25">
        <v>512</v>
      </c>
      <c r="T43" s="26">
        <v>512</v>
      </c>
      <c r="U43" s="23">
        <v>512</v>
      </c>
      <c r="V43" s="27">
        <v>2048</v>
      </c>
      <c r="W43" s="30">
        <v>64</v>
      </c>
      <c r="X43" s="27">
        <v>2048</v>
      </c>
      <c r="Y43" s="31">
        <v>64</v>
      </c>
      <c r="Z43" s="26" t="s">
        <v>42</v>
      </c>
      <c r="AA43" s="23"/>
      <c r="AB43" s="27">
        <v>2048</v>
      </c>
      <c r="AC43" s="30">
        <v>64</v>
      </c>
      <c r="AD43" s="27">
        <v>2048</v>
      </c>
      <c r="AE43" s="31">
        <v>64</v>
      </c>
    </row>
    <row r="44" spans="1:31" ht="15.75" customHeight="1" x14ac:dyDescent="0.25">
      <c r="A44" s="58"/>
      <c r="B44" s="370"/>
      <c r="C44" s="62" t="s">
        <v>73</v>
      </c>
      <c r="D44" s="26" t="s">
        <v>33</v>
      </c>
      <c r="E44" s="23" t="s">
        <v>33</v>
      </c>
      <c r="F44" s="27" t="s">
        <v>33</v>
      </c>
      <c r="G44" s="25" t="s">
        <v>33</v>
      </c>
      <c r="H44" s="26" t="s">
        <v>33</v>
      </c>
      <c r="I44" s="23" t="s">
        <v>33</v>
      </c>
      <c r="J44" s="27" t="s">
        <v>33</v>
      </c>
      <c r="K44" s="25" t="s">
        <v>33</v>
      </c>
      <c r="L44" s="26" t="s">
        <v>33</v>
      </c>
      <c r="M44" s="25" t="s">
        <v>33</v>
      </c>
      <c r="N44" s="26" t="s">
        <v>33</v>
      </c>
      <c r="O44" s="23" t="s">
        <v>33</v>
      </c>
      <c r="P44" s="27" t="s">
        <v>33</v>
      </c>
      <c r="Q44" s="97" t="s">
        <v>33</v>
      </c>
      <c r="R44" s="26" t="s">
        <v>33</v>
      </c>
      <c r="S44" s="25" t="s">
        <v>33</v>
      </c>
      <c r="T44" s="26" t="s">
        <v>33</v>
      </c>
      <c r="U44" s="23" t="s">
        <v>33</v>
      </c>
      <c r="V44" s="27" t="s">
        <v>33</v>
      </c>
      <c r="W44" s="23" t="s">
        <v>33</v>
      </c>
      <c r="X44" s="27" t="s">
        <v>33</v>
      </c>
      <c r="Y44" s="25" t="s">
        <v>33</v>
      </c>
      <c r="Z44" s="26" t="s">
        <v>33</v>
      </c>
      <c r="AA44" s="23"/>
      <c r="AB44" s="27" t="s">
        <v>33</v>
      </c>
      <c r="AC44" s="23" t="s">
        <v>33</v>
      </c>
      <c r="AD44" s="27" t="s">
        <v>33</v>
      </c>
      <c r="AE44" s="25" t="s">
        <v>33</v>
      </c>
    </row>
    <row r="45" spans="1:31" ht="15.75" customHeight="1" x14ac:dyDescent="0.25">
      <c r="A45" s="58"/>
      <c r="B45" s="370"/>
      <c r="C45" s="62" t="s">
        <v>74</v>
      </c>
      <c r="D45" s="26" t="s">
        <v>33</v>
      </c>
      <c r="E45" s="23" t="s">
        <v>33</v>
      </c>
      <c r="F45" s="27" t="s">
        <v>33</v>
      </c>
      <c r="G45" s="25" t="s">
        <v>33</v>
      </c>
      <c r="H45" s="26" t="s">
        <v>33</v>
      </c>
      <c r="I45" s="30" t="s">
        <v>42</v>
      </c>
      <c r="J45" s="27" t="s">
        <v>33</v>
      </c>
      <c r="K45" s="31" t="s">
        <v>42</v>
      </c>
      <c r="L45" s="26" t="s">
        <v>33</v>
      </c>
      <c r="M45" s="25" t="s">
        <v>33</v>
      </c>
      <c r="N45" s="26" t="s">
        <v>33</v>
      </c>
      <c r="O45" s="23" t="s">
        <v>33</v>
      </c>
      <c r="P45" s="27" t="s">
        <v>33</v>
      </c>
      <c r="Q45" s="100" t="s">
        <v>42</v>
      </c>
      <c r="R45" s="26" t="s">
        <v>33</v>
      </c>
      <c r="S45" s="25" t="s">
        <v>33</v>
      </c>
      <c r="T45" s="26" t="s">
        <v>33</v>
      </c>
      <c r="U45" s="23" t="s">
        <v>33</v>
      </c>
      <c r="V45" s="27" t="s">
        <v>33</v>
      </c>
      <c r="W45" s="30" t="s">
        <v>42</v>
      </c>
      <c r="X45" s="27" t="s">
        <v>33</v>
      </c>
      <c r="Y45" s="31" t="s">
        <v>42</v>
      </c>
      <c r="Z45" s="26" t="s">
        <v>33</v>
      </c>
      <c r="AA45" s="23"/>
      <c r="AB45" s="27" t="s">
        <v>33</v>
      </c>
      <c r="AC45" s="30" t="s">
        <v>42</v>
      </c>
      <c r="AD45" s="27" t="s">
        <v>33</v>
      </c>
      <c r="AE45" s="31" t="s">
        <v>42</v>
      </c>
    </row>
    <row r="46" spans="1:31" ht="15.75" customHeight="1" x14ac:dyDescent="0.25">
      <c r="A46" s="58"/>
      <c r="B46" s="370"/>
      <c r="C46" s="62" t="s">
        <v>75</v>
      </c>
      <c r="D46" s="26" t="s">
        <v>33</v>
      </c>
      <c r="E46" s="23" t="s">
        <v>33</v>
      </c>
      <c r="F46" s="27" t="s">
        <v>33</v>
      </c>
      <c r="G46" s="25" t="s">
        <v>33</v>
      </c>
      <c r="H46" s="26">
        <v>6</v>
      </c>
      <c r="I46" s="30">
        <v>1</v>
      </c>
      <c r="J46" s="27">
        <v>6</v>
      </c>
      <c r="K46" s="31">
        <v>1</v>
      </c>
      <c r="L46" s="26" t="s">
        <v>33</v>
      </c>
      <c r="M46" s="25" t="s">
        <v>33</v>
      </c>
      <c r="N46" s="26" t="s">
        <v>33</v>
      </c>
      <c r="O46" s="23" t="s">
        <v>33</v>
      </c>
      <c r="P46" s="27">
        <v>6</v>
      </c>
      <c r="Q46" s="100">
        <v>1</v>
      </c>
      <c r="R46" s="26" t="s">
        <v>33</v>
      </c>
      <c r="S46" s="25" t="s">
        <v>33</v>
      </c>
      <c r="T46" s="26" t="s">
        <v>33</v>
      </c>
      <c r="U46" s="23" t="s">
        <v>33</v>
      </c>
      <c r="V46" s="27">
        <v>6</v>
      </c>
      <c r="W46" s="30">
        <v>1</v>
      </c>
      <c r="X46" s="27">
        <v>6</v>
      </c>
      <c r="Y46" s="31">
        <v>1</v>
      </c>
      <c r="Z46" s="26" t="s">
        <v>33</v>
      </c>
      <c r="AA46" s="23"/>
      <c r="AB46" s="27">
        <v>6</v>
      </c>
      <c r="AC46" s="30">
        <v>1</v>
      </c>
      <c r="AD46" s="27">
        <v>6</v>
      </c>
      <c r="AE46" s="31">
        <v>1</v>
      </c>
    </row>
    <row r="47" spans="1:31" ht="15.75" customHeight="1" x14ac:dyDescent="0.25">
      <c r="A47" s="58"/>
      <c r="B47" s="370"/>
      <c r="C47" s="62" t="s">
        <v>76</v>
      </c>
      <c r="D47" s="26" t="s">
        <v>33</v>
      </c>
      <c r="E47" s="23" t="s">
        <v>33</v>
      </c>
      <c r="F47" s="27" t="s">
        <v>33</v>
      </c>
      <c r="G47" s="25" t="s">
        <v>33</v>
      </c>
      <c r="H47" s="26">
        <v>6</v>
      </c>
      <c r="I47" s="30">
        <v>1</v>
      </c>
      <c r="J47" s="27">
        <v>6</v>
      </c>
      <c r="K47" s="31">
        <v>1</v>
      </c>
      <c r="L47" s="26" t="s">
        <v>33</v>
      </c>
      <c r="M47" s="25" t="s">
        <v>33</v>
      </c>
      <c r="N47" s="26" t="s">
        <v>33</v>
      </c>
      <c r="O47" s="23" t="s">
        <v>33</v>
      </c>
      <c r="P47" s="27">
        <v>6</v>
      </c>
      <c r="Q47" s="100">
        <v>1</v>
      </c>
      <c r="R47" s="26" t="s">
        <v>33</v>
      </c>
      <c r="S47" s="25" t="s">
        <v>33</v>
      </c>
      <c r="T47" s="26" t="s">
        <v>33</v>
      </c>
      <c r="U47" s="23" t="s">
        <v>33</v>
      </c>
      <c r="V47" s="27">
        <v>6</v>
      </c>
      <c r="W47" s="30">
        <v>1</v>
      </c>
      <c r="X47" s="27">
        <v>6</v>
      </c>
      <c r="Y47" s="31">
        <v>1</v>
      </c>
      <c r="Z47" s="26" t="s">
        <v>33</v>
      </c>
      <c r="AA47" s="23"/>
      <c r="AB47" s="27">
        <v>6</v>
      </c>
      <c r="AC47" s="30">
        <v>2</v>
      </c>
      <c r="AD47" s="27">
        <v>6</v>
      </c>
      <c r="AE47" s="31">
        <v>2</v>
      </c>
    </row>
    <row r="48" spans="1:31" ht="15.75" customHeight="1" x14ac:dyDescent="0.25">
      <c r="A48" s="58"/>
      <c r="B48" s="370"/>
      <c r="C48" s="62" t="s">
        <v>77</v>
      </c>
      <c r="D48" s="26" t="s">
        <v>33</v>
      </c>
      <c r="E48" s="23" t="s">
        <v>33</v>
      </c>
      <c r="F48" s="27" t="s">
        <v>33</v>
      </c>
      <c r="G48" s="25" t="s">
        <v>33</v>
      </c>
      <c r="H48" s="26" t="s">
        <v>42</v>
      </c>
      <c r="I48" s="30" t="s">
        <v>33</v>
      </c>
      <c r="J48" s="27" t="s">
        <v>42</v>
      </c>
      <c r="K48" s="31" t="s">
        <v>33</v>
      </c>
      <c r="L48" s="26" t="s">
        <v>33</v>
      </c>
      <c r="M48" s="25" t="s">
        <v>33</v>
      </c>
      <c r="N48" s="26" t="s">
        <v>33</v>
      </c>
      <c r="O48" s="23" t="s">
        <v>33</v>
      </c>
      <c r="P48" s="27" t="s">
        <v>42</v>
      </c>
      <c r="Q48" s="97" t="s">
        <v>42</v>
      </c>
      <c r="R48" s="26" t="s">
        <v>33</v>
      </c>
      <c r="S48" s="25" t="s">
        <v>33</v>
      </c>
      <c r="T48" s="26" t="s">
        <v>33</v>
      </c>
      <c r="U48" s="23" t="s">
        <v>33</v>
      </c>
      <c r="V48" s="27" t="s">
        <v>42</v>
      </c>
      <c r="W48" s="30" t="s">
        <v>33</v>
      </c>
      <c r="X48" s="27" t="s">
        <v>42</v>
      </c>
      <c r="Y48" s="31" t="s">
        <v>33</v>
      </c>
      <c r="Z48" s="26" t="s">
        <v>33</v>
      </c>
      <c r="AA48" s="23"/>
      <c r="AB48" s="27" t="s">
        <v>42</v>
      </c>
      <c r="AC48" s="30" t="s">
        <v>33</v>
      </c>
      <c r="AD48" s="27" t="s">
        <v>42</v>
      </c>
      <c r="AE48" s="31" t="s">
        <v>33</v>
      </c>
    </row>
    <row r="49" spans="1:31" ht="15.75" customHeight="1" x14ac:dyDescent="0.25">
      <c r="A49" s="58"/>
      <c r="B49" s="371"/>
      <c r="C49" s="63" t="s">
        <v>78</v>
      </c>
      <c r="D49" s="18" t="s">
        <v>33</v>
      </c>
      <c r="E49" s="37" t="s">
        <v>33</v>
      </c>
      <c r="F49" s="15" t="s">
        <v>33</v>
      </c>
      <c r="G49" s="38" t="s">
        <v>33</v>
      </c>
      <c r="H49" s="18" t="s">
        <v>33</v>
      </c>
      <c r="I49" s="102" t="s">
        <v>42</v>
      </c>
      <c r="J49" s="15" t="s">
        <v>33</v>
      </c>
      <c r="K49" s="103" t="s">
        <v>42</v>
      </c>
      <c r="L49" s="18" t="s">
        <v>33</v>
      </c>
      <c r="M49" s="38" t="s">
        <v>33</v>
      </c>
      <c r="N49" s="18" t="s">
        <v>33</v>
      </c>
      <c r="O49" s="37" t="s">
        <v>33</v>
      </c>
      <c r="P49" s="15" t="s">
        <v>33</v>
      </c>
      <c r="Q49" s="104" t="s">
        <v>42</v>
      </c>
      <c r="R49" s="18" t="s">
        <v>33</v>
      </c>
      <c r="S49" s="38" t="s">
        <v>33</v>
      </c>
      <c r="T49" s="18" t="s">
        <v>33</v>
      </c>
      <c r="U49" s="37" t="s">
        <v>33</v>
      </c>
      <c r="V49" s="15" t="s">
        <v>33</v>
      </c>
      <c r="W49" s="38" t="s">
        <v>33</v>
      </c>
      <c r="X49" s="18" t="s">
        <v>33</v>
      </c>
      <c r="Y49" s="38" t="s">
        <v>33</v>
      </c>
      <c r="Z49" s="18" t="s">
        <v>33</v>
      </c>
      <c r="AA49" s="37"/>
      <c r="AB49" s="15" t="s">
        <v>33</v>
      </c>
      <c r="AC49" s="38" t="s">
        <v>33</v>
      </c>
      <c r="AD49" s="18" t="s">
        <v>33</v>
      </c>
      <c r="AE49" s="38" t="s">
        <v>33</v>
      </c>
    </row>
    <row r="50" spans="1:31" ht="15.75" customHeight="1" x14ac:dyDescent="0.25">
      <c r="A50" s="372" t="s">
        <v>79</v>
      </c>
      <c r="B50" s="370" t="s">
        <v>8</v>
      </c>
      <c r="C50" s="65" t="s">
        <v>80</v>
      </c>
      <c r="D50" s="20" t="s">
        <v>33</v>
      </c>
      <c r="E50" s="19" t="s">
        <v>33</v>
      </c>
      <c r="F50" s="20" t="s">
        <v>33</v>
      </c>
      <c r="G50" s="21" t="s">
        <v>33</v>
      </c>
      <c r="H50" s="13" t="s">
        <v>33</v>
      </c>
      <c r="I50" s="19" t="s">
        <v>33</v>
      </c>
      <c r="J50" s="20" t="s">
        <v>33</v>
      </c>
      <c r="K50" s="21" t="s">
        <v>33</v>
      </c>
      <c r="L50" s="13" t="s">
        <v>33</v>
      </c>
      <c r="M50" s="21" t="s">
        <v>33</v>
      </c>
      <c r="N50" s="13" t="s">
        <v>33</v>
      </c>
      <c r="O50" s="19" t="s">
        <v>33</v>
      </c>
      <c r="P50" s="20" t="s">
        <v>33</v>
      </c>
      <c r="Q50" s="96" t="s">
        <v>33</v>
      </c>
      <c r="R50" s="13" t="s">
        <v>33</v>
      </c>
      <c r="S50" s="19" t="s">
        <v>33</v>
      </c>
      <c r="T50" s="20" t="s">
        <v>33</v>
      </c>
      <c r="U50" s="19" t="s">
        <v>33</v>
      </c>
      <c r="V50" s="20" t="s">
        <v>33</v>
      </c>
      <c r="W50" s="19" t="s">
        <v>33</v>
      </c>
      <c r="X50" s="20" t="s">
        <v>33</v>
      </c>
      <c r="Y50" s="21" t="s">
        <v>33</v>
      </c>
      <c r="Z50" s="13" t="s">
        <v>33</v>
      </c>
      <c r="AA50" s="19"/>
      <c r="AB50" s="20" t="s">
        <v>33</v>
      </c>
      <c r="AC50" s="19" t="s">
        <v>33</v>
      </c>
      <c r="AD50" s="20" t="s">
        <v>33</v>
      </c>
      <c r="AE50" s="21" t="s">
        <v>33</v>
      </c>
    </row>
    <row r="51" spans="1:31" ht="15" x14ac:dyDescent="0.25">
      <c r="A51" s="370"/>
      <c r="B51" s="370"/>
      <c r="C51" s="66" t="s">
        <v>81</v>
      </c>
      <c r="D51" s="27">
        <v>10000</v>
      </c>
      <c r="E51" s="23">
        <v>10000</v>
      </c>
      <c r="F51" s="27">
        <v>10000</v>
      </c>
      <c r="G51" s="25">
        <v>10000</v>
      </c>
      <c r="H51" s="26" t="s">
        <v>33</v>
      </c>
      <c r="I51" s="23" t="s">
        <v>33</v>
      </c>
      <c r="J51" s="27" t="s">
        <v>33</v>
      </c>
      <c r="K51" s="25" t="s">
        <v>33</v>
      </c>
      <c r="L51" s="26" t="s">
        <v>33</v>
      </c>
      <c r="M51" s="25" t="s">
        <v>33</v>
      </c>
      <c r="N51" s="26">
        <v>10000</v>
      </c>
      <c r="O51" s="30" t="s">
        <v>33</v>
      </c>
      <c r="P51" s="27" t="s">
        <v>33</v>
      </c>
      <c r="Q51" s="97" t="s">
        <v>33</v>
      </c>
      <c r="R51" s="26">
        <v>10000</v>
      </c>
      <c r="S51" s="23">
        <v>10000</v>
      </c>
      <c r="T51" s="27">
        <v>10000</v>
      </c>
      <c r="U51" s="23">
        <v>10000</v>
      </c>
      <c r="V51" s="27" t="s">
        <v>33</v>
      </c>
      <c r="W51" s="23" t="s">
        <v>33</v>
      </c>
      <c r="X51" s="27" t="s">
        <v>33</v>
      </c>
      <c r="Y51" s="25" t="s">
        <v>33</v>
      </c>
      <c r="Z51" s="26">
        <v>10000</v>
      </c>
      <c r="AA51" s="23"/>
      <c r="AB51" s="27" t="s">
        <v>33</v>
      </c>
      <c r="AC51" s="23" t="s">
        <v>33</v>
      </c>
      <c r="AD51" s="27" t="s">
        <v>33</v>
      </c>
      <c r="AE51" s="25" t="s">
        <v>33</v>
      </c>
    </row>
    <row r="52" spans="1:31" ht="15" x14ac:dyDescent="0.25">
      <c r="A52" s="370"/>
      <c r="B52" s="370"/>
      <c r="C52" s="66" t="s">
        <v>82</v>
      </c>
      <c r="D52" s="27">
        <v>4096</v>
      </c>
      <c r="E52" s="23">
        <v>4096</v>
      </c>
      <c r="F52" s="27">
        <v>4096</v>
      </c>
      <c r="G52" s="25">
        <v>4096</v>
      </c>
      <c r="H52" s="26" t="s">
        <v>33</v>
      </c>
      <c r="I52" s="23" t="s">
        <v>33</v>
      </c>
      <c r="J52" s="27" t="s">
        <v>33</v>
      </c>
      <c r="K52" s="25" t="s">
        <v>33</v>
      </c>
      <c r="L52" s="26" t="s">
        <v>33</v>
      </c>
      <c r="M52" s="25" t="s">
        <v>33</v>
      </c>
      <c r="N52" s="26">
        <v>4096</v>
      </c>
      <c r="O52" s="30" t="s">
        <v>33</v>
      </c>
      <c r="P52" s="27" t="s">
        <v>33</v>
      </c>
      <c r="Q52" s="97" t="s">
        <v>33</v>
      </c>
      <c r="R52" s="26">
        <v>4096</v>
      </c>
      <c r="S52" s="23">
        <v>4096</v>
      </c>
      <c r="T52" s="27">
        <v>4096</v>
      </c>
      <c r="U52" s="23">
        <v>4096</v>
      </c>
      <c r="V52" s="27" t="s">
        <v>33</v>
      </c>
      <c r="W52" s="23" t="s">
        <v>33</v>
      </c>
      <c r="X52" s="27" t="s">
        <v>33</v>
      </c>
      <c r="Y52" s="25" t="s">
        <v>33</v>
      </c>
      <c r="Z52" s="26">
        <v>4096</v>
      </c>
      <c r="AA52" s="23"/>
      <c r="AB52" s="27" t="s">
        <v>33</v>
      </c>
      <c r="AC52" s="23" t="s">
        <v>33</v>
      </c>
      <c r="AD52" s="27" t="s">
        <v>33</v>
      </c>
      <c r="AE52" s="25" t="s">
        <v>33</v>
      </c>
    </row>
    <row r="53" spans="1:31" ht="15" x14ac:dyDescent="0.25">
      <c r="A53" s="370"/>
      <c r="B53" s="370"/>
      <c r="C53" s="66" t="s">
        <v>83</v>
      </c>
      <c r="D53" s="27">
        <v>1024</v>
      </c>
      <c r="E53" s="30">
        <v>512</v>
      </c>
      <c r="F53" s="27">
        <v>1024</v>
      </c>
      <c r="G53" s="31">
        <v>512</v>
      </c>
      <c r="H53" s="26" t="s">
        <v>33</v>
      </c>
      <c r="I53" s="23" t="s">
        <v>33</v>
      </c>
      <c r="J53" s="27" t="s">
        <v>33</v>
      </c>
      <c r="K53" s="25" t="s">
        <v>33</v>
      </c>
      <c r="L53" s="26" t="s">
        <v>33</v>
      </c>
      <c r="M53" s="25" t="s">
        <v>33</v>
      </c>
      <c r="N53" s="26">
        <v>1024</v>
      </c>
      <c r="O53" s="30" t="s">
        <v>33</v>
      </c>
      <c r="P53" s="27" t="s">
        <v>33</v>
      </c>
      <c r="Q53" s="97" t="s">
        <v>33</v>
      </c>
      <c r="R53" s="26">
        <v>1024</v>
      </c>
      <c r="S53" s="30">
        <v>512</v>
      </c>
      <c r="T53" s="27">
        <v>1024</v>
      </c>
      <c r="U53" s="23">
        <v>1024</v>
      </c>
      <c r="V53" s="27" t="s">
        <v>33</v>
      </c>
      <c r="W53" s="23" t="s">
        <v>33</v>
      </c>
      <c r="X53" s="27" t="s">
        <v>33</v>
      </c>
      <c r="Y53" s="25" t="s">
        <v>33</v>
      </c>
      <c r="Z53" s="26">
        <v>1024</v>
      </c>
      <c r="AA53" s="23"/>
      <c r="AB53" s="27" t="s">
        <v>33</v>
      </c>
      <c r="AC53" s="23" t="s">
        <v>33</v>
      </c>
      <c r="AD53" s="27" t="s">
        <v>33</v>
      </c>
      <c r="AE53" s="25" t="s">
        <v>33</v>
      </c>
    </row>
    <row r="54" spans="1:31" ht="15" x14ac:dyDescent="0.25">
      <c r="A54" s="370"/>
      <c r="B54" s="370"/>
      <c r="C54" s="66" t="s">
        <v>84</v>
      </c>
      <c r="D54" s="27" t="s">
        <v>33</v>
      </c>
      <c r="E54" s="30" t="s">
        <v>42</v>
      </c>
      <c r="F54" s="27" t="s">
        <v>33</v>
      </c>
      <c r="G54" s="31" t="s">
        <v>42</v>
      </c>
      <c r="H54" s="26" t="s">
        <v>33</v>
      </c>
      <c r="I54" s="23" t="s">
        <v>33</v>
      </c>
      <c r="J54" s="27" t="s">
        <v>33</v>
      </c>
      <c r="K54" s="25" t="s">
        <v>33</v>
      </c>
      <c r="L54" s="26" t="s">
        <v>33</v>
      </c>
      <c r="M54" s="25" t="s">
        <v>33</v>
      </c>
      <c r="N54" s="26" t="s">
        <v>33</v>
      </c>
      <c r="O54" s="23" t="s">
        <v>33</v>
      </c>
      <c r="P54" s="27" t="s">
        <v>33</v>
      </c>
      <c r="Q54" s="97" t="s">
        <v>33</v>
      </c>
      <c r="R54" s="26" t="s">
        <v>33</v>
      </c>
      <c r="S54" s="23" t="s">
        <v>33</v>
      </c>
      <c r="T54" s="27" t="s">
        <v>33</v>
      </c>
      <c r="U54" s="23" t="s">
        <v>33</v>
      </c>
      <c r="V54" s="27" t="s">
        <v>33</v>
      </c>
      <c r="W54" s="23" t="s">
        <v>33</v>
      </c>
      <c r="X54" s="27" t="s">
        <v>33</v>
      </c>
      <c r="Y54" s="25" t="s">
        <v>33</v>
      </c>
      <c r="Z54" s="26" t="s">
        <v>33</v>
      </c>
      <c r="AA54" s="23"/>
      <c r="AB54" s="27" t="s">
        <v>33</v>
      </c>
      <c r="AC54" s="23" t="s">
        <v>33</v>
      </c>
      <c r="AD54" s="27" t="s">
        <v>33</v>
      </c>
      <c r="AE54" s="25" t="s">
        <v>33</v>
      </c>
    </row>
    <row r="55" spans="1:31" ht="15" x14ac:dyDescent="0.25">
      <c r="A55" s="370"/>
      <c r="B55" s="370"/>
      <c r="C55" s="66" t="s">
        <v>85</v>
      </c>
      <c r="D55" s="27" t="s">
        <v>33</v>
      </c>
      <c r="E55" s="23" t="s">
        <v>33</v>
      </c>
      <c r="F55" s="27" t="s">
        <v>33</v>
      </c>
      <c r="G55" s="25" t="s">
        <v>33</v>
      </c>
      <c r="H55" s="26" t="s">
        <v>33</v>
      </c>
      <c r="I55" s="23" t="s">
        <v>33</v>
      </c>
      <c r="J55" s="27" t="s">
        <v>33</v>
      </c>
      <c r="K55" s="25" t="s">
        <v>33</v>
      </c>
      <c r="L55" s="26" t="s">
        <v>33</v>
      </c>
      <c r="M55" s="25" t="s">
        <v>33</v>
      </c>
      <c r="N55" s="26" t="s">
        <v>33</v>
      </c>
      <c r="O55" s="23" t="s">
        <v>33</v>
      </c>
      <c r="P55" s="27" t="s">
        <v>33</v>
      </c>
      <c r="Q55" s="97" t="s">
        <v>33</v>
      </c>
      <c r="R55" s="26" t="s">
        <v>33</v>
      </c>
      <c r="S55" s="23" t="s">
        <v>33</v>
      </c>
      <c r="T55" s="27" t="s">
        <v>33</v>
      </c>
      <c r="U55" s="23" t="s">
        <v>33</v>
      </c>
      <c r="V55" s="27" t="s">
        <v>33</v>
      </c>
      <c r="W55" s="23" t="s">
        <v>33</v>
      </c>
      <c r="X55" s="27" t="s">
        <v>33</v>
      </c>
      <c r="Y55" s="25" t="s">
        <v>33</v>
      </c>
      <c r="Z55" s="26" t="s">
        <v>33</v>
      </c>
      <c r="AA55" s="23"/>
      <c r="AB55" s="27" t="s">
        <v>33</v>
      </c>
      <c r="AC55" s="23" t="s">
        <v>33</v>
      </c>
      <c r="AD55" s="27" t="s">
        <v>33</v>
      </c>
      <c r="AE55" s="25" t="s">
        <v>33</v>
      </c>
    </row>
    <row r="56" spans="1:31" ht="15" x14ac:dyDescent="0.25">
      <c r="A56" s="370"/>
      <c r="B56" s="370"/>
      <c r="C56" s="66" t="s">
        <v>86</v>
      </c>
      <c r="D56" s="27" t="s">
        <v>33</v>
      </c>
      <c r="E56" s="23" t="s">
        <v>33</v>
      </c>
      <c r="F56" s="27" t="s">
        <v>33</v>
      </c>
      <c r="G56" s="25" t="s">
        <v>33</v>
      </c>
      <c r="H56" s="26" t="s">
        <v>33</v>
      </c>
      <c r="I56" s="23" t="s">
        <v>33</v>
      </c>
      <c r="J56" s="27" t="s">
        <v>33</v>
      </c>
      <c r="K56" s="25" t="s">
        <v>33</v>
      </c>
      <c r="L56" s="26" t="s">
        <v>33</v>
      </c>
      <c r="M56" s="25" t="s">
        <v>33</v>
      </c>
      <c r="N56" s="26" t="s">
        <v>33</v>
      </c>
      <c r="O56" s="23" t="s">
        <v>33</v>
      </c>
      <c r="P56" s="27" t="s">
        <v>33</v>
      </c>
      <c r="Q56" s="97" t="s">
        <v>33</v>
      </c>
      <c r="R56" s="26" t="s">
        <v>33</v>
      </c>
      <c r="S56" s="23" t="s">
        <v>33</v>
      </c>
      <c r="T56" s="27" t="s">
        <v>33</v>
      </c>
      <c r="U56" s="23" t="s">
        <v>33</v>
      </c>
      <c r="V56" s="27" t="s">
        <v>33</v>
      </c>
      <c r="W56" s="23" t="s">
        <v>33</v>
      </c>
      <c r="X56" s="27" t="s">
        <v>33</v>
      </c>
      <c r="Y56" s="25" t="s">
        <v>33</v>
      </c>
      <c r="Z56" s="26" t="s">
        <v>33</v>
      </c>
      <c r="AA56" s="23"/>
      <c r="AB56" s="27" t="s">
        <v>33</v>
      </c>
      <c r="AC56" s="23" t="s">
        <v>33</v>
      </c>
      <c r="AD56" s="27" t="s">
        <v>33</v>
      </c>
      <c r="AE56" s="25" t="s">
        <v>33</v>
      </c>
    </row>
    <row r="57" spans="1:31" ht="15" x14ac:dyDescent="0.25">
      <c r="A57" s="370"/>
      <c r="B57" s="371"/>
      <c r="C57" s="66" t="s">
        <v>87</v>
      </c>
      <c r="D57" s="27" t="s">
        <v>33</v>
      </c>
      <c r="E57" s="23" t="s">
        <v>33</v>
      </c>
      <c r="F57" s="27" t="s">
        <v>33</v>
      </c>
      <c r="G57" s="25" t="s">
        <v>33</v>
      </c>
      <c r="H57" s="26" t="s">
        <v>33</v>
      </c>
      <c r="I57" s="23" t="s">
        <v>33</v>
      </c>
      <c r="J57" s="27" t="s">
        <v>33</v>
      </c>
      <c r="K57" s="25" t="s">
        <v>33</v>
      </c>
      <c r="L57" s="26" t="s">
        <v>33</v>
      </c>
      <c r="M57" s="25" t="s">
        <v>33</v>
      </c>
      <c r="N57" s="26" t="s">
        <v>33</v>
      </c>
      <c r="O57" s="23" t="s">
        <v>33</v>
      </c>
      <c r="P57" s="27" t="s">
        <v>33</v>
      </c>
      <c r="Q57" s="97" t="s">
        <v>33</v>
      </c>
      <c r="R57" s="26" t="s">
        <v>33</v>
      </c>
      <c r="S57" s="23" t="s">
        <v>33</v>
      </c>
      <c r="T57" s="27" t="s">
        <v>33</v>
      </c>
      <c r="U57" s="23" t="s">
        <v>33</v>
      </c>
      <c r="V57" s="27" t="s">
        <v>33</v>
      </c>
      <c r="W57" s="23" t="s">
        <v>33</v>
      </c>
      <c r="X57" s="27" t="s">
        <v>33</v>
      </c>
      <c r="Y57" s="25" t="s">
        <v>33</v>
      </c>
      <c r="Z57" s="26" t="s">
        <v>33</v>
      </c>
      <c r="AA57" s="23"/>
      <c r="AB57" s="27" t="s">
        <v>33</v>
      </c>
      <c r="AC57" s="23" t="s">
        <v>33</v>
      </c>
      <c r="AD57" s="27" t="s">
        <v>33</v>
      </c>
      <c r="AE57" s="25" t="s">
        <v>33</v>
      </c>
    </row>
    <row r="58" spans="1:31" ht="15" x14ac:dyDescent="0.25">
      <c r="A58" s="370"/>
      <c r="B58" s="370" t="s">
        <v>9</v>
      </c>
      <c r="C58" s="66" t="s">
        <v>88</v>
      </c>
      <c r="D58" s="27" t="s">
        <v>33</v>
      </c>
      <c r="E58" s="23" t="s">
        <v>33</v>
      </c>
      <c r="F58" s="27" t="s">
        <v>33</v>
      </c>
      <c r="G58" s="25" t="s">
        <v>33</v>
      </c>
      <c r="H58" s="26">
        <v>32</v>
      </c>
      <c r="I58" s="30">
        <v>4</v>
      </c>
      <c r="J58" s="27">
        <v>32</v>
      </c>
      <c r="K58" s="31">
        <v>4</v>
      </c>
      <c r="L58" s="26" t="s">
        <v>33</v>
      </c>
      <c r="M58" s="25" t="s">
        <v>33</v>
      </c>
      <c r="N58" s="26" t="s">
        <v>33</v>
      </c>
      <c r="O58" s="23" t="s">
        <v>33</v>
      </c>
      <c r="P58" s="27">
        <v>32</v>
      </c>
      <c r="Q58" s="97">
        <v>32</v>
      </c>
      <c r="R58" s="26" t="s">
        <v>33</v>
      </c>
      <c r="S58" s="23" t="s">
        <v>33</v>
      </c>
      <c r="T58" s="27" t="s">
        <v>33</v>
      </c>
      <c r="U58" s="23" t="s">
        <v>33</v>
      </c>
      <c r="V58" s="27">
        <v>32</v>
      </c>
      <c r="W58" s="23">
        <v>32</v>
      </c>
      <c r="X58" s="27">
        <v>32</v>
      </c>
      <c r="Y58" s="25">
        <v>32</v>
      </c>
      <c r="Z58" s="26" t="s">
        <v>33</v>
      </c>
      <c r="AA58" s="23"/>
      <c r="AB58" s="27">
        <v>32</v>
      </c>
      <c r="AC58" s="23">
        <v>32</v>
      </c>
      <c r="AD58" s="27">
        <v>32</v>
      </c>
      <c r="AE58" s="25">
        <v>32</v>
      </c>
    </row>
    <row r="59" spans="1:31" ht="15" x14ac:dyDescent="0.25">
      <c r="A59" s="370"/>
      <c r="B59" s="370"/>
      <c r="C59" s="66" t="s">
        <v>89</v>
      </c>
      <c r="D59" s="27" t="s">
        <v>33</v>
      </c>
      <c r="E59" s="23" t="s">
        <v>33</v>
      </c>
      <c r="F59" s="27" t="s">
        <v>33</v>
      </c>
      <c r="G59" s="25" t="s">
        <v>33</v>
      </c>
      <c r="H59" s="26">
        <v>16</v>
      </c>
      <c r="I59" s="30">
        <v>4</v>
      </c>
      <c r="J59" s="27">
        <v>16</v>
      </c>
      <c r="K59" s="31">
        <v>4</v>
      </c>
      <c r="L59" s="26" t="s">
        <v>33</v>
      </c>
      <c r="M59" s="25" t="s">
        <v>33</v>
      </c>
      <c r="N59" s="26" t="s">
        <v>33</v>
      </c>
      <c r="O59" s="23" t="s">
        <v>33</v>
      </c>
      <c r="P59" s="27">
        <v>16</v>
      </c>
      <c r="Q59" s="97">
        <v>16</v>
      </c>
      <c r="R59" s="26" t="s">
        <v>33</v>
      </c>
      <c r="S59" s="23" t="s">
        <v>33</v>
      </c>
      <c r="T59" s="27" t="s">
        <v>33</v>
      </c>
      <c r="U59" s="23" t="s">
        <v>33</v>
      </c>
      <c r="V59" s="27">
        <v>16</v>
      </c>
      <c r="W59" s="23">
        <v>16</v>
      </c>
      <c r="X59" s="27">
        <v>16</v>
      </c>
      <c r="Y59" s="25">
        <v>32</v>
      </c>
      <c r="Z59" s="26" t="s">
        <v>33</v>
      </c>
      <c r="AA59" s="23"/>
      <c r="AB59" s="27">
        <v>32</v>
      </c>
      <c r="AC59" s="23">
        <v>32</v>
      </c>
      <c r="AD59" s="27">
        <v>32</v>
      </c>
      <c r="AE59" s="25">
        <v>32</v>
      </c>
    </row>
    <row r="60" spans="1:31" ht="15" x14ac:dyDescent="0.25">
      <c r="A60" s="370"/>
      <c r="B60" s="370"/>
      <c r="C60" s="66" t="s">
        <v>90</v>
      </c>
      <c r="D60" s="27" t="s">
        <v>33</v>
      </c>
      <c r="E60" s="23" t="s">
        <v>33</v>
      </c>
      <c r="F60" s="27" t="s">
        <v>33</v>
      </c>
      <c r="G60" s="25" t="s">
        <v>33</v>
      </c>
      <c r="H60" s="26" t="s">
        <v>33</v>
      </c>
      <c r="I60" s="23" t="s">
        <v>33</v>
      </c>
      <c r="J60" s="27" t="s">
        <v>33</v>
      </c>
      <c r="K60" s="25" t="s">
        <v>33</v>
      </c>
      <c r="L60" s="26" t="s">
        <v>33</v>
      </c>
      <c r="M60" s="25" t="s">
        <v>33</v>
      </c>
      <c r="N60" s="26" t="s">
        <v>33</v>
      </c>
      <c r="O60" s="23" t="s">
        <v>33</v>
      </c>
      <c r="P60" s="27" t="s">
        <v>33</v>
      </c>
      <c r="Q60" s="97" t="s">
        <v>33</v>
      </c>
      <c r="R60" s="26" t="s">
        <v>33</v>
      </c>
      <c r="S60" s="23" t="s">
        <v>33</v>
      </c>
      <c r="T60" s="27" t="s">
        <v>33</v>
      </c>
      <c r="U60" s="23" t="s">
        <v>33</v>
      </c>
      <c r="V60" s="27" t="s">
        <v>33</v>
      </c>
      <c r="W60" s="23" t="s">
        <v>33</v>
      </c>
      <c r="X60" s="27" t="s">
        <v>33</v>
      </c>
      <c r="Y60" s="25" t="s">
        <v>33</v>
      </c>
      <c r="Z60" s="26" t="s">
        <v>33</v>
      </c>
      <c r="AA60" s="23"/>
      <c r="AB60" s="27" t="s">
        <v>33</v>
      </c>
      <c r="AC60" s="23" t="s">
        <v>33</v>
      </c>
      <c r="AD60" s="27" t="s">
        <v>33</v>
      </c>
      <c r="AE60" s="25" t="s">
        <v>33</v>
      </c>
    </row>
    <row r="61" spans="1:31" ht="15" x14ac:dyDescent="0.25">
      <c r="A61" s="371"/>
      <c r="B61" s="371"/>
      <c r="C61" s="67" t="s">
        <v>91</v>
      </c>
      <c r="D61" s="15" t="s">
        <v>33</v>
      </c>
      <c r="E61" s="37" t="s">
        <v>33</v>
      </c>
      <c r="F61" s="15" t="s">
        <v>33</v>
      </c>
      <c r="G61" s="38" t="s">
        <v>33</v>
      </c>
      <c r="H61" s="18" t="s">
        <v>33</v>
      </c>
      <c r="I61" s="102" t="s">
        <v>42</v>
      </c>
      <c r="J61" s="15" t="s">
        <v>33</v>
      </c>
      <c r="K61" s="103" t="s">
        <v>42</v>
      </c>
      <c r="L61" s="18" t="s">
        <v>33</v>
      </c>
      <c r="M61" s="38" t="s">
        <v>33</v>
      </c>
      <c r="N61" s="18" t="s">
        <v>33</v>
      </c>
      <c r="O61" s="37" t="s">
        <v>33</v>
      </c>
      <c r="P61" s="15" t="s">
        <v>33</v>
      </c>
      <c r="Q61" s="105" t="s">
        <v>33</v>
      </c>
      <c r="R61" s="18" t="s">
        <v>33</v>
      </c>
      <c r="S61" s="37" t="s">
        <v>33</v>
      </c>
      <c r="T61" s="15" t="s">
        <v>33</v>
      </c>
      <c r="U61" s="37" t="s">
        <v>33</v>
      </c>
      <c r="V61" s="15" t="s">
        <v>33</v>
      </c>
      <c r="W61" s="37" t="s">
        <v>42</v>
      </c>
      <c r="X61" s="15" t="s">
        <v>33</v>
      </c>
      <c r="Y61" s="38" t="s">
        <v>33</v>
      </c>
      <c r="Z61" s="18" t="s">
        <v>33</v>
      </c>
      <c r="AA61" s="37"/>
      <c r="AB61" s="15" t="s">
        <v>33</v>
      </c>
      <c r="AC61" s="37" t="s">
        <v>42</v>
      </c>
      <c r="AD61" s="15" t="s">
        <v>33</v>
      </c>
      <c r="AE61" s="38" t="s">
        <v>33</v>
      </c>
    </row>
    <row r="62" spans="1:31" ht="15" x14ac:dyDescent="0.25">
      <c r="A62" s="373" t="s">
        <v>92</v>
      </c>
      <c r="B62" s="370" t="s">
        <v>8</v>
      </c>
      <c r="C62" s="68" t="s">
        <v>93</v>
      </c>
      <c r="D62" s="20" t="s">
        <v>33</v>
      </c>
      <c r="E62" s="19" t="s">
        <v>33</v>
      </c>
      <c r="F62" s="20" t="s">
        <v>33</v>
      </c>
      <c r="G62" s="21" t="s">
        <v>33</v>
      </c>
      <c r="H62" s="13" t="s">
        <v>33</v>
      </c>
      <c r="I62" s="19" t="s">
        <v>33</v>
      </c>
      <c r="J62" s="20" t="s">
        <v>33</v>
      </c>
      <c r="K62" s="21" t="s">
        <v>33</v>
      </c>
      <c r="L62" s="13">
        <v>1024</v>
      </c>
      <c r="M62" s="106">
        <v>512</v>
      </c>
      <c r="N62" s="13" t="s">
        <v>33</v>
      </c>
      <c r="O62" s="19" t="s">
        <v>33</v>
      </c>
      <c r="P62" s="20" t="s">
        <v>33</v>
      </c>
      <c r="Q62" s="96" t="s">
        <v>33</v>
      </c>
      <c r="R62" s="13">
        <v>1024</v>
      </c>
      <c r="S62" s="106">
        <v>512</v>
      </c>
      <c r="T62" s="13" t="s">
        <v>33</v>
      </c>
      <c r="U62" s="19" t="s">
        <v>33</v>
      </c>
      <c r="V62" s="20" t="s">
        <v>33</v>
      </c>
      <c r="W62" s="19" t="s">
        <v>33</v>
      </c>
      <c r="X62" s="20" t="s">
        <v>33</v>
      </c>
      <c r="Y62" s="21" t="s">
        <v>33</v>
      </c>
      <c r="Z62" s="13" t="s">
        <v>33</v>
      </c>
      <c r="AA62" s="19"/>
      <c r="AB62" s="20" t="s">
        <v>33</v>
      </c>
      <c r="AC62" s="19" t="s">
        <v>33</v>
      </c>
      <c r="AD62" s="20" t="s">
        <v>33</v>
      </c>
      <c r="AE62" s="21" t="s">
        <v>33</v>
      </c>
    </row>
    <row r="63" spans="1:31" ht="15" x14ac:dyDescent="0.25">
      <c r="A63" s="373"/>
      <c r="B63" s="370"/>
      <c r="C63" s="69" t="s">
        <v>94</v>
      </c>
      <c r="D63" s="27" t="s">
        <v>33</v>
      </c>
      <c r="E63" s="23" t="s">
        <v>33</v>
      </c>
      <c r="F63" s="27" t="s">
        <v>33</v>
      </c>
      <c r="G63" s="25" t="s">
        <v>33</v>
      </c>
      <c r="H63" s="26" t="s">
        <v>33</v>
      </c>
      <c r="I63" s="23" t="s">
        <v>33</v>
      </c>
      <c r="J63" s="27" t="s">
        <v>33</v>
      </c>
      <c r="K63" s="25" t="s">
        <v>33</v>
      </c>
      <c r="L63" s="26">
        <v>1024</v>
      </c>
      <c r="M63" s="31">
        <v>128</v>
      </c>
      <c r="N63" s="26" t="s">
        <v>33</v>
      </c>
      <c r="O63" s="23" t="s">
        <v>33</v>
      </c>
      <c r="P63" s="27" t="s">
        <v>33</v>
      </c>
      <c r="Q63" s="97" t="s">
        <v>33</v>
      </c>
      <c r="R63" s="26">
        <v>1024</v>
      </c>
      <c r="S63" s="31">
        <v>128</v>
      </c>
      <c r="T63" s="26" t="s">
        <v>33</v>
      </c>
      <c r="U63" s="23" t="s">
        <v>33</v>
      </c>
      <c r="V63" s="27" t="s">
        <v>33</v>
      </c>
      <c r="W63" s="23" t="s">
        <v>33</v>
      </c>
      <c r="X63" s="27" t="s">
        <v>33</v>
      </c>
      <c r="Y63" s="25" t="s">
        <v>33</v>
      </c>
      <c r="Z63" s="26" t="s">
        <v>33</v>
      </c>
      <c r="AA63" s="23"/>
      <c r="AB63" s="27" t="s">
        <v>33</v>
      </c>
      <c r="AC63" s="23" t="s">
        <v>33</v>
      </c>
      <c r="AD63" s="27" t="s">
        <v>33</v>
      </c>
      <c r="AE63" s="25" t="s">
        <v>33</v>
      </c>
    </row>
    <row r="64" spans="1:31" ht="15.75" customHeight="1" x14ac:dyDescent="0.25">
      <c r="A64" s="373"/>
      <c r="B64" s="370"/>
      <c r="C64" s="69" t="s">
        <v>95</v>
      </c>
      <c r="D64" s="27" t="s">
        <v>33</v>
      </c>
      <c r="E64" s="23" t="s">
        <v>33</v>
      </c>
      <c r="F64" s="27" t="s">
        <v>33</v>
      </c>
      <c r="G64" s="25" t="s">
        <v>33</v>
      </c>
      <c r="H64" s="26" t="s">
        <v>33</v>
      </c>
      <c r="I64" s="23" t="s">
        <v>33</v>
      </c>
      <c r="J64" s="27" t="s">
        <v>33</v>
      </c>
      <c r="K64" s="25" t="s">
        <v>33</v>
      </c>
      <c r="L64" s="26">
        <v>1</v>
      </c>
      <c r="M64" s="25">
        <v>1</v>
      </c>
      <c r="N64" s="26" t="s">
        <v>33</v>
      </c>
      <c r="O64" s="23" t="s">
        <v>33</v>
      </c>
      <c r="P64" s="27" t="s">
        <v>33</v>
      </c>
      <c r="Q64" s="97" t="s">
        <v>33</v>
      </c>
      <c r="R64" s="26">
        <v>1</v>
      </c>
      <c r="S64" s="25">
        <v>1</v>
      </c>
      <c r="T64" s="26" t="s">
        <v>33</v>
      </c>
      <c r="U64" s="23" t="s">
        <v>33</v>
      </c>
      <c r="V64" s="27" t="s">
        <v>33</v>
      </c>
      <c r="W64" s="23" t="s">
        <v>33</v>
      </c>
      <c r="X64" s="27" t="s">
        <v>33</v>
      </c>
      <c r="Y64" s="25" t="s">
        <v>33</v>
      </c>
      <c r="Z64" s="26" t="s">
        <v>33</v>
      </c>
      <c r="AA64" s="23"/>
      <c r="AB64" s="27" t="s">
        <v>33</v>
      </c>
      <c r="AC64" s="23" t="s">
        <v>33</v>
      </c>
      <c r="AD64" s="27" t="s">
        <v>33</v>
      </c>
      <c r="AE64" s="25" t="s">
        <v>33</v>
      </c>
    </row>
    <row r="65" spans="1:31" ht="15.75" customHeight="1" x14ac:dyDescent="0.25">
      <c r="A65" s="373"/>
      <c r="B65" s="370"/>
      <c r="C65" s="69" t="s">
        <v>96</v>
      </c>
      <c r="D65" s="27" t="s">
        <v>33</v>
      </c>
      <c r="E65" s="23" t="s">
        <v>33</v>
      </c>
      <c r="F65" s="27" t="s">
        <v>33</v>
      </c>
      <c r="G65" s="25" t="s">
        <v>33</v>
      </c>
      <c r="H65" s="26" t="s">
        <v>33</v>
      </c>
      <c r="I65" s="23" t="s">
        <v>33</v>
      </c>
      <c r="J65" s="27" t="s">
        <v>33</v>
      </c>
      <c r="K65" s="25" t="s">
        <v>33</v>
      </c>
      <c r="L65" s="26" t="s">
        <v>33</v>
      </c>
      <c r="M65" s="25" t="s">
        <v>33</v>
      </c>
      <c r="N65" s="26" t="s">
        <v>33</v>
      </c>
      <c r="O65" s="23" t="s">
        <v>33</v>
      </c>
      <c r="P65" s="27" t="s">
        <v>33</v>
      </c>
      <c r="Q65" s="97" t="s">
        <v>33</v>
      </c>
      <c r="R65" s="26" t="s">
        <v>33</v>
      </c>
      <c r="S65" s="25" t="s">
        <v>33</v>
      </c>
      <c r="T65" s="26" t="s">
        <v>33</v>
      </c>
      <c r="U65" s="23" t="s">
        <v>33</v>
      </c>
      <c r="V65" s="27" t="s">
        <v>33</v>
      </c>
      <c r="W65" s="23" t="s">
        <v>33</v>
      </c>
      <c r="X65" s="27" t="s">
        <v>33</v>
      </c>
      <c r="Y65" s="25" t="s">
        <v>33</v>
      </c>
      <c r="Z65" s="26" t="s">
        <v>33</v>
      </c>
      <c r="AA65" s="23"/>
      <c r="AB65" s="27" t="s">
        <v>33</v>
      </c>
      <c r="AC65" s="23" t="s">
        <v>33</v>
      </c>
      <c r="AD65" s="27" t="s">
        <v>33</v>
      </c>
      <c r="AE65" s="25" t="s">
        <v>33</v>
      </c>
    </row>
    <row r="66" spans="1:31" ht="15.75" customHeight="1" x14ac:dyDescent="0.25">
      <c r="A66" s="373"/>
      <c r="B66" s="370"/>
      <c r="C66" s="69" t="s">
        <v>97</v>
      </c>
      <c r="D66" s="27" t="s">
        <v>33</v>
      </c>
      <c r="E66" s="23" t="s">
        <v>33</v>
      </c>
      <c r="F66" s="27" t="s">
        <v>33</v>
      </c>
      <c r="G66" s="25" t="s">
        <v>33</v>
      </c>
      <c r="H66" s="26" t="s">
        <v>33</v>
      </c>
      <c r="I66" s="23" t="s">
        <v>33</v>
      </c>
      <c r="J66" s="27" t="s">
        <v>33</v>
      </c>
      <c r="K66" s="25" t="s">
        <v>33</v>
      </c>
      <c r="L66" s="26">
        <v>1024</v>
      </c>
      <c r="M66" s="31">
        <v>512</v>
      </c>
      <c r="N66" s="26" t="s">
        <v>33</v>
      </c>
      <c r="O66" s="23" t="s">
        <v>33</v>
      </c>
      <c r="P66" s="27" t="s">
        <v>33</v>
      </c>
      <c r="Q66" s="97" t="s">
        <v>33</v>
      </c>
      <c r="R66" s="26">
        <v>1024</v>
      </c>
      <c r="S66" s="31">
        <v>512</v>
      </c>
      <c r="T66" s="26" t="s">
        <v>33</v>
      </c>
      <c r="U66" s="23" t="s">
        <v>33</v>
      </c>
      <c r="V66" s="27" t="s">
        <v>33</v>
      </c>
      <c r="W66" s="23" t="s">
        <v>33</v>
      </c>
      <c r="X66" s="27" t="s">
        <v>33</v>
      </c>
      <c r="Y66" s="25" t="s">
        <v>33</v>
      </c>
      <c r="Z66" s="26" t="s">
        <v>33</v>
      </c>
      <c r="AA66" s="23"/>
      <c r="AB66" s="27" t="s">
        <v>33</v>
      </c>
      <c r="AC66" s="23" t="s">
        <v>33</v>
      </c>
      <c r="AD66" s="27" t="s">
        <v>33</v>
      </c>
      <c r="AE66" s="25" t="s">
        <v>33</v>
      </c>
    </row>
    <row r="67" spans="1:31" ht="15.75" customHeight="1" x14ac:dyDescent="0.25">
      <c r="A67" s="373"/>
      <c r="B67" s="370"/>
      <c r="C67" s="69" t="s">
        <v>98</v>
      </c>
      <c r="D67" s="27" t="s">
        <v>33</v>
      </c>
      <c r="E67" s="23" t="s">
        <v>33</v>
      </c>
      <c r="F67" s="27" t="s">
        <v>33</v>
      </c>
      <c r="G67" s="25" t="s">
        <v>33</v>
      </c>
      <c r="H67" s="26" t="s">
        <v>33</v>
      </c>
      <c r="I67" s="23" t="s">
        <v>33</v>
      </c>
      <c r="J67" s="27" t="s">
        <v>33</v>
      </c>
      <c r="K67" s="25" t="s">
        <v>33</v>
      </c>
      <c r="L67" s="26" t="s">
        <v>33</v>
      </c>
      <c r="M67" s="25" t="s">
        <v>33</v>
      </c>
      <c r="N67" s="26" t="s">
        <v>33</v>
      </c>
      <c r="O67" s="23" t="s">
        <v>33</v>
      </c>
      <c r="P67" s="27" t="s">
        <v>33</v>
      </c>
      <c r="Q67" s="97" t="s">
        <v>33</v>
      </c>
      <c r="R67" s="26" t="s">
        <v>33</v>
      </c>
      <c r="S67" s="25" t="s">
        <v>33</v>
      </c>
      <c r="T67" s="26" t="s">
        <v>33</v>
      </c>
      <c r="U67" s="23" t="s">
        <v>33</v>
      </c>
      <c r="V67" s="27" t="s">
        <v>33</v>
      </c>
      <c r="W67" s="23" t="s">
        <v>33</v>
      </c>
      <c r="X67" s="27" t="s">
        <v>33</v>
      </c>
      <c r="Y67" s="25" t="s">
        <v>33</v>
      </c>
      <c r="Z67" s="26" t="s">
        <v>33</v>
      </c>
      <c r="AA67" s="23"/>
      <c r="AB67" s="27" t="s">
        <v>33</v>
      </c>
      <c r="AC67" s="23" t="s">
        <v>33</v>
      </c>
      <c r="AD67" s="27" t="s">
        <v>33</v>
      </c>
      <c r="AE67" s="25" t="s">
        <v>33</v>
      </c>
    </row>
    <row r="68" spans="1:31" ht="15.75" customHeight="1" x14ac:dyDescent="0.25">
      <c r="A68" s="373"/>
      <c r="B68" s="371"/>
      <c r="C68" s="70" t="s">
        <v>99</v>
      </c>
      <c r="D68" s="26">
        <v>1</v>
      </c>
      <c r="E68" s="23">
        <v>1</v>
      </c>
      <c r="F68" s="27">
        <v>1</v>
      </c>
      <c r="G68" s="25">
        <v>1</v>
      </c>
      <c r="H68" s="26">
        <v>1</v>
      </c>
      <c r="I68" s="23">
        <v>1</v>
      </c>
      <c r="J68" s="27">
        <v>1</v>
      </c>
      <c r="K68" s="25">
        <v>1</v>
      </c>
      <c r="L68" s="26">
        <v>1</v>
      </c>
      <c r="M68" s="25">
        <v>1</v>
      </c>
      <c r="N68" s="26">
        <v>1</v>
      </c>
      <c r="O68" s="23">
        <v>1</v>
      </c>
      <c r="P68" s="27">
        <v>1</v>
      </c>
      <c r="Q68" s="97">
        <v>1</v>
      </c>
      <c r="R68" s="26">
        <v>1</v>
      </c>
      <c r="S68" s="25">
        <v>1</v>
      </c>
      <c r="T68" s="26">
        <v>1</v>
      </c>
      <c r="U68" s="23">
        <v>1</v>
      </c>
      <c r="V68" s="27">
        <v>1</v>
      </c>
      <c r="W68" s="23">
        <v>1</v>
      </c>
      <c r="X68" s="27">
        <v>1</v>
      </c>
      <c r="Y68" s="25">
        <v>1</v>
      </c>
      <c r="Z68" s="26">
        <v>1</v>
      </c>
      <c r="AA68" s="23"/>
      <c r="AB68" s="27">
        <v>1</v>
      </c>
      <c r="AC68" s="23">
        <v>1</v>
      </c>
      <c r="AD68" s="27">
        <v>1</v>
      </c>
      <c r="AE68" s="25">
        <v>1</v>
      </c>
    </row>
    <row r="69" spans="1:31" ht="15.75" customHeight="1" x14ac:dyDescent="0.25">
      <c r="A69" s="373"/>
      <c r="B69" s="370" t="s">
        <v>9</v>
      </c>
      <c r="C69" s="70" t="s">
        <v>100</v>
      </c>
      <c r="D69" s="26" t="s">
        <v>33</v>
      </c>
      <c r="E69" s="23" t="s">
        <v>33</v>
      </c>
      <c r="F69" s="27" t="s">
        <v>33</v>
      </c>
      <c r="G69" s="25" t="s">
        <v>33</v>
      </c>
      <c r="H69" s="26">
        <v>1</v>
      </c>
      <c r="I69" s="23">
        <v>1</v>
      </c>
      <c r="J69" s="27">
        <v>1</v>
      </c>
      <c r="K69" s="25">
        <v>1</v>
      </c>
      <c r="L69" s="26">
        <v>1</v>
      </c>
      <c r="M69" s="25">
        <v>1</v>
      </c>
      <c r="N69" s="26">
        <v>1</v>
      </c>
      <c r="O69" s="23">
        <v>1</v>
      </c>
      <c r="P69" s="27">
        <v>1</v>
      </c>
      <c r="Q69" s="97">
        <v>1</v>
      </c>
      <c r="R69" s="26">
        <v>1</v>
      </c>
      <c r="S69" s="25">
        <v>1</v>
      </c>
      <c r="T69" s="26" t="s">
        <v>33</v>
      </c>
      <c r="U69" s="23" t="s">
        <v>33</v>
      </c>
      <c r="V69" s="27">
        <v>1</v>
      </c>
      <c r="W69" s="23">
        <v>1</v>
      </c>
      <c r="X69" s="27">
        <v>1</v>
      </c>
      <c r="Y69" s="25">
        <v>1</v>
      </c>
      <c r="Z69" s="26" t="s">
        <v>33</v>
      </c>
      <c r="AA69" s="23"/>
      <c r="AB69" s="27">
        <v>1</v>
      </c>
      <c r="AC69" s="23">
        <v>1</v>
      </c>
      <c r="AD69" s="27">
        <v>1</v>
      </c>
      <c r="AE69" s="25">
        <v>1</v>
      </c>
    </row>
    <row r="70" spans="1:31" ht="15.75" customHeight="1" x14ac:dyDescent="0.25">
      <c r="A70" s="374"/>
      <c r="B70" s="371"/>
      <c r="C70" s="71" t="s">
        <v>101</v>
      </c>
      <c r="D70" s="15" t="s">
        <v>33</v>
      </c>
      <c r="E70" s="37" t="s">
        <v>33</v>
      </c>
      <c r="F70" s="15" t="s">
        <v>33</v>
      </c>
      <c r="G70" s="38" t="s">
        <v>33</v>
      </c>
      <c r="H70" s="18" t="s">
        <v>33</v>
      </c>
      <c r="I70" s="37" t="s">
        <v>33</v>
      </c>
      <c r="J70" s="15" t="s">
        <v>33</v>
      </c>
      <c r="K70" s="38" t="s">
        <v>33</v>
      </c>
      <c r="L70" s="18" t="s">
        <v>33</v>
      </c>
      <c r="M70" s="38" t="s">
        <v>33</v>
      </c>
      <c r="N70" s="18" t="s">
        <v>33</v>
      </c>
      <c r="O70" s="37" t="s">
        <v>33</v>
      </c>
      <c r="P70" s="15" t="s">
        <v>33</v>
      </c>
      <c r="Q70" s="105" t="s">
        <v>33</v>
      </c>
      <c r="R70" s="18" t="s">
        <v>33</v>
      </c>
      <c r="S70" s="38" t="s">
        <v>33</v>
      </c>
      <c r="T70" s="18" t="s">
        <v>33</v>
      </c>
      <c r="U70" s="37" t="s">
        <v>33</v>
      </c>
      <c r="V70" s="15" t="s">
        <v>33</v>
      </c>
      <c r="W70" s="37" t="s">
        <v>33</v>
      </c>
      <c r="X70" s="15" t="s">
        <v>33</v>
      </c>
      <c r="Y70" s="38" t="s">
        <v>33</v>
      </c>
      <c r="Z70" s="18" t="s">
        <v>33</v>
      </c>
      <c r="AA70" s="37"/>
      <c r="AB70" s="15" t="s">
        <v>33</v>
      </c>
      <c r="AC70" s="37" t="s">
        <v>33</v>
      </c>
      <c r="AD70" s="15" t="s">
        <v>33</v>
      </c>
      <c r="AE70" s="38" t="s">
        <v>33</v>
      </c>
    </row>
    <row r="71" spans="1:31" ht="15.75" customHeight="1" x14ac:dyDescent="0.25">
      <c r="A71" s="370" t="s">
        <v>102</v>
      </c>
      <c r="B71" s="370" t="s">
        <v>9</v>
      </c>
      <c r="C71" s="72" t="s">
        <v>103</v>
      </c>
      <c r="D71" s="20" t="s">
        <v>33</v>
      </c>
      <c r="E71" s="19" t="s">
        <v>33</v>
      </c>
      <c r="F71" s="20" t="s">
        <v>33</v>
      </c>
      <c r="G71" s="21" t="s">
        <v>33</v>
      </c>
      <c r="H71" s="13" t="s">
        <v>33</v>
      </c>
      <c r="I71" s="19" t="s">
        <v>33</v>
      </c>
      <c r="J71" s="20" t="s">
        <v>33</v>
      </c>
      <c r="K71" s="21" t="s">
        <v>33</v>
      </c>
      <c r="L71" s="13" t="s">
        <v>33</v>
      </c>
      <c r="M71" s="21" t="s">
        <v>33</v>
      </c>
      <c r="N71" s="13" t="s">
        <v>33</v>
      </c>
      <c r="O71" s="19" t="s">
        <v>33</v>
      </c>
      <c r="P71" s="20" t="s">
        <v>33</v>
      </c>
      <c r="Q71" s="53" t="s">
        <v>42</v>
      </c>
      <c r="R71" s="13" t="s">
        <v>33</v>
      </c>
      <c r="S71" s="21" t="s">
        <v>33</v>
      </c>
      <c r="T71" s="13" t="s">
        <v>33</v>
      </c>
      <c r="U71" s="19" t="s">
        <v>33</v>
      </c>
      <c r="V71" s="20" t="s">
        <v>33</v>
      </c>
      <c r="W71" s="19" t="s">
        <v>33</v>
      </c>
      <c r="X71" s="20" t="s">
        <v>33</v>
      </c>
      <c r="Y71" s="21" t="s">
        <v>33</v>
      </c>
      <c r="Z71" s="13" t="s">
        <v>33</v>
      </c>
      <c r="AA71" s="19"/>
      <c r="AB71" s="20" t="s">
        <v>33</v>
      </c>
      <c r="AC71" s="19" t="s">
        <v>33</v>
      </c>
      <c r="AD71" s="20" t="s">
        <v>33</v>
      </c>
      <c r="AE71" s="21" t="s">
        <v>33</v>
      </c>
    </row>
    <row r="72" spans="1:31" ht="15.75" customHeight="1" x14ac:dyDescent="0.25">
      <c r="A72" s="370"/>
      <c r="B72" s="370"/>
      <c r="C72" s="73" t="s">
        <v>104</v>
      </c>
      <c r="D72" s="27" t="s">
        <v>33</v>
      </c>
      <c r="E72" s="23" t="s">
        <v>33</v>
      </c>
      <c r="F72" s="27" t="s">
        <v>33</v>
      </c>
      <c r="G72" s="25" t="s">
        <v>33</v>
      </c>
      <c r="H72" s="26" t="s">
        <v>33</v>
      </c>
      <c r="I72" s="23" t="s">
        <v>33</v>
      </c>
      <c r="J72" s="27" t="s">
        <v>33</v>
      </c>
      <c r="K72" s="25" t="s">
        <v>33</v>
      </c>
      <c r="L72" s="26" t="s">
        <v>33</v>
      </c>
      <c r="M72" s="25" t="s">
        <v>33</v>
      </c>
      <c r="N72" s="26" t="s">
        <v>33</v>
      </c>
      <c r="O72" s="23" t="s">
        <v>33</v>
      </c>
      <c r="P72" s="27" t="s">
        <v>42</v>
      </c>
      <c r="Q72" s="97" t="s">
        <v>42</v>
      </c>
      <c r="R72" s="26" t="s">
        <v>33</v>
      </c>
      <c r="S72" s="25" t="s">
        <v>33</v>
      </c>
      <c r="T72" s="26" t="s">
        <v>33</v>
      </c>
      <c r="U72" s="23" t="s">
        <v>33</v>
      </c>
      <c r="V72" s="27" t="s">
        <v>33</v>
      </c>
      <c r="W72" s="23" t="s">
        <v>33</v>
      </c>
      <c r="X72" s="27" t="s">
        <v>33</v>
      </c>
      <c r="Y72" s="25" t="s">
        <v>33</v>
      </c>
      <c r="Z72" s="26" t="s">
        <v>33</v>
      </c>
      <c r="AA72" s="23"/>
      <c r="AB72" s="27" t="s">
        <v>33</v>
      </c>
      <c r="AC72" s="23" t="s">
        <v>33</v>
      </c>
      <c r="AD72" s="27" t="s">
        <v>33</v>
      </c>
      <c r="AE72" s="25" t="s">
        <v>33</v>
      </c>
    </row>
    <row r="73" spans="1:31" ht="15.75" customHeight="1" x14ac:dyDescent="0.25">
      <c r="A73" s="370"/>
      <c r="B73" s="370"/>
      <c r="C73" s="74" t="s">
        <v>105</v>
      </c>
      <c r="D73" s="15" t="s">
        <v>33</v>
      </c>
      <c r="E73" s="37" t="s">
        <v>33</v>
      </c>
      <c r="F73" s="15" t="s">
        <v>33</v>
      </c>
      <c r="G73" s="38" t="s">
        <v>33</v>
      </c>
      <c r="H73" s="18" t="s">
        <v>33</v>
      </c>
      <c r="I73" s="37" t="s">
        <v>33</v>
      </c>
      <c r="J73" s="15" t="s">
        <v>33</v>
      </c>
      <c r="K73" s="38" t="s">
        <v>33</v>
      </c>
      <c r="L73" s="18" t="s">
        <v>33</v>
      </c>
      <c r="M73" s="38" t="s">
        <v>33</v>
      </c>
      <c r="N73" s="18" t="s">
        <v>33</v>
      </c>
      <c r="O73" s="37" t="s">
        <v>33</v>
      </c>
      <c r="P73" s="15" t="s">
        <v>33</v>
      </c>
      <c r="Q73" s="104" t="s">
        <v>42</v>
      </c>
      <c r="R73" s="18" t="s">
        <v>33</v>
      </c>
      <c r="S73" s="38" t="s">
        <v>33</v>
      </c>
      <c r="T73" s="18" t="s">
        <v>33</v>
      </c>
      <c r="U73" s="37" t="s">
        <v>33</v>
      </c>
      <c r="V73" s="15" t="s">
        <v>33</v>
      </c>
      <c r="W73" s="37" t="s">
        <v>33</v>
      </c>
      <c r="X73" s="15" t="s">
        <v>33</v>
      </c>
      <c r="Y73" s="38" t="s">
        <v>33</v>
      </c>
      <c r="Z73" s="18" t="s">
        <v>33</v>
      </c>
      <c r="AA73" s="37"/>
      <c r="AB73" s="15" t="s">
        <v>33</v>
      </c>
      <c r="AC73" s="37" t="s">
        <v>33</v>
      </c>
      <c r="AD73" s="15" t="s">
        <v>33</v>
      </c>
      <c r="AE73" s="38" t="s">
        <v>33</v>
      </c>
    </row>
    <row r="74" spans="1:31" ht="15.75" customHeight="1" x14ac:dyDescent="0.25">
      <c r="A74" s="118" t="s">
        <v>106</v>
      </c>
      <c r="B74" s="117" t="s">
        <v>8</v>
      </c>
      <c r="C74" s="75" t="s">
        <v>107</v>
      </c>
      <c r="D74" s="107" t="s">
        <v>33</v>
      </c>
      <c r="E74" s="108" t="s">
        <v>33</v>
      </c>
      <c r="F74" s="109" t="s">
        <v>33</v>
      </c>
      <c r="G74" s="110" t="s">
        <v>33</v>
      </c>
      <c r="H74" s="107" t="s">
        <v>33</v>
      </c>
      <c r="I74" s="108" t="s">
        <v>33</v>
      </c>
      <c r="J74" s="109" t="s">
        <v>33</v>
      </c>
      <c r="K74" s="110" t="s">
        <v>33</v>
      </c>
      <c r="L74" s="107" t="s">
        <v>33</v>
      </c>
      <c r="M74" s="110" t="s">
        <v>33</v>
      </c>
      <c r="N74" s="107" t="s">
        <v>33</v>
      </c>
      <c r="O74" s="108" t="s">
        <v>33</v>
      </c>
      <c r="P74" s="109" t="s">
        <v>33</v>
      </c>
      <c r="Q74" s="42" t="s">
        <v>33</v>
      </c>
      <c r="R74" s="41" t="s">
        <v>33</v>
      </c>
      <c r="S74" s="42" t="s">
        <v>33</v>
      </c>
      <c r="T74" s="41">
        <v>8</v>
      </c>
      <c r="U74" s="40">
        <v>1</v>
      </c>
      <c r="V74" s="41">
        <v>8</v>
      </c>
      <c r="W74" s="42">
        <v>8</v>
      </c>
      <c r="X74" s="41">
        <v>8</v>
      </c>
      <c r="Y74" s="43">
        <v>8</v>
      </c>
      <c r="Z74" s="39" t="s">
        <v>33</v>
      </c>
      <c r="AA74" s="42"/>
      <c r="AB74" s="41" t="s">
        <v>33</v>
      </c>
      <c r="AC74" s="42" t="s">
        <v>33</v>
      </c>
      <c r="AD74" s="41" t="s">
        <v>33</v>
      </c>
      <c r="AE74" s="43" t="s">
        <v>33</v>
      </c>
    </row>
    <row r="75" spans="1:31" ht="15.75" customHeight="1" x14ac:dyDescent="0.25">
      <c r="A75" s="395" t="s">
        <v>108</v>
      </c>
      <c r="B75" s="397" t="s">
        <v>8</v>
      </c>
      <c r="C75" s="76" t="s">
        <v>109</v>
      </c>
      <c r="D75" s="44" t="s">
        <v>33</v>
      </c>
      <c r="E75" s="33" t="s">
        <v>33</v>
      </c>
      <c r="F75" s="44" t="s">
        <v>33</v>
      </c>
      <c r="G75" s="33" t="s">
        <v>33</v>
      </c>
      <c r="H75" s="44" t="s">
        <v>33</v>
      </c>
      <c r="I75" s="33" t="s">
        <v>33</v>
      </c>
      <c r="J75" s="44" t="s">
        <v>33</v>
      </c>
      <c r="K75" s="33" t="s">
        <v>33</v>
      </c>
      <c r="L75" s="44" t="s">
        <v>33</v>
      </c>
      <c r="M75" s="33" t="s">
        <v>33</v>
      </c>
      <c r="N75" s="44" t="s">
        <v>33</v>
      </c>
      <c r="O75" s="33" t="s">
        <v>33</v>
      </c>
      <c r="P75" s="44" t="s">
        <v>33</v>
      </c>
      <c r="Q75" s="33" t="s">
        <v>33</v>
      </c>
      <c r="R75" s="44" t="s">
        <v>33</v>
      </c>
      <c r="S75" s="33" t="s">
        <v>33</v>
      </c>
      <c r="T75" s="44" t="s">
        <v>33</v>
      </c>
      <c r="U75" s="33" t="s">
        <v>33</v>
      </c>
      <c r="V75" s="44" t="s">
        <v>33</v>
      </c>
      <c r="W75" s="33" t="s">
        <v>33</v>
      </c>
      <c r="X75" s="44" t="s">
        <v>33</v>
      </c>
      <c r="Y75" s="33" t="s">
        <v>33</v>
      </c>
      <c r="Z75" s="44" t="s">
        <v>33</v>
      </c>
      <c r="AA75" s="33"/>
      <c r="AB75" s="44" t="s">
        <v>33</v>
      </c>
      <c r="AC75" s="33" t="s">
        <v>33</v>
      </c>
      <c r="AD75" s="41" t="s">
        <v>33</v>
      </c>
      <c r="AE75" s="35" t="s">
        <v>33</v>
      </c>
    </row>
    <row r="76" spans="1:31" ht="15.75" customHeight="1" x14ac:dyDescent="0.25">
      <c r="A76" s="395"/>
      <c r="B76" s="397"/>
      <c r="C76" s="77" t="s">
        <v>110</v>
      </c>
      <c r="D76" s="44" t="s">
        <v>33</v>
      </c>
      <c r="E76" s="33" t="s">
        <v>33</v>
      </c>
      <c r="F76" s="44" t="s">
        <v>33</v>
      </c>
      <c r="G76" s="33" t="s">
        <v>33</v>
      </c>
      <c r="H76" s="44" t="s">
        <v>33</v>
      </c>
      <c r="I76" s="33" t="s">
        <v>33</v>
      </c>
      <c r="J76" s="44" t="s">
        <v>33</v>
      </c>
      <c r="K76" s="33" t="s">
        <v>33</v>
      </c>
      <c r="L76" s="44" t="s">
        <v>33</v>
      </c>
      <c r="M76" s="33" t="s">
        <v>33</v>
      </c>
      <c r="N76" s="44" t="s">
        <v>33</v>
      </c>
      <c r="O76" s="33" t="s">
        <v>33</v>
      </c>
      <c r="P76" s="44" t="s">
        <v>33</v>
      </c>
      <c r="Q76" s="33" t="s">
        <v>33</v>
      </c>
      <c r="R76" s="44" t="s">
        <v>33</v>
      </c>
      <c r="S76" s="33" t="s">
        <v>33</v>
      </c>
      <c r="T76" s="44" t="s">
        <v>33</v>
      </c>
      <c r="U76" s="33" t="s">
        <v>33</v>
      </c>
      <c r="V76" s="44" t="s">
        <v>33</v>
      </c>
      <c r="W76" s="33" t="s">
        <v>33</v>
      </c>
      <c r="X76" s="44" t="s">
        <v>33</v>
      </c>
      <c r="Y76" s="33" t="s">
        <v>33</v>
      </c>
      <c r="Z76" s="44" t="s">
        <v>33</v>
      </c>
      <c r="AA76" s="23"/>
      <c r="AB76" s="44" t="s">
        <v>33</v>
      </c>
      <c r="AC76" s="33" t="s">
        <v>33</v>
      </c>
      <c r="AD76" s="41" t="s">
        <v>33</v>
      </c>
      <c r="AE76" s="25" t="s">
        <v>33</v>
      </c>
    </row>
    <row r="77" spans="1:31" ht="15.75" customHeight="1" x14ac:dyDescent="0.25">
      <c r="A77" s="395"/>
      <c r="B77" s="398"/>
      <c r="C77" s="77" t="s">
        <v>111</v>
      </c>
      <c r="D77" s="44" t="s">
        <v>33</v>
      </c>
      <c r="E77" s="33" t="s">
        <v>33</v>
      </c>
      <c r="F77" s="44" t="s">
        <v>33</v>
      </c>
      <c r="G77" s="33" t="s">
        <v>33</v>
      </c>
      <c r="H77" s="44" t="s">
        <v>33</v>
      </c>
      <c r="I77" s="33" t="s">
        <v>33</v>
      </c>
      <c r="J77" s="44" t="s">
        <v>33</v>
      </c>
      <c r="K77" s="33" t="s">
        <v>33</v>
      </c>
      <c r="L77" s="44" t="s">
        <v>33</v>
      </c>
      <c r="M77" s="33" t="s">
        <v>33</v>
      </c>
      <c r="N77" s="44" t="s">
        <v>33</v>
      </c>
      <c r="O77" s="33" t="s">
        <v>33</v>
      </c>
      <c r="P77" s="44" t="s">
        <v>33</v>
      </c>
      <c r="Q77" s="33" t="s">
        <v>33</v>
      </c>
      <c r="R77" s="44" t="s">
        <v>33</v>
      </c>
      <c r="S77" s="33" t="s">
        <v>33</v>
      </c>
      <c r="T77" s="44" t="s">
        <v>33</v>
      </c>
      <c r="U77" s="33" t="s">
        <v>33</v>
      </c>
      <c r="V77" s="44" t="s">
        <v>33</v>
      </c>
      <c r="W77" s="33" t="s">
        <v>33</v>
      </c>
      <c r="X77" s="44" t="s">
        <v>33</v>
      </c>
      <c r="Y77" s="33" t="s">
        <v>33</v>
      </c>
      <c r="Z77" s="44" t="s">
        <v>33</v>
      </c>
      <c r="AA77" s="23"/>
      <c r="AB77" s="44" t="s">
        <v>33</v>
      </c>
      <c r="AC77" s="33" t="s">
        <v>33</v>
      </c>
      <c r="AD77" s="45" t="s">
        <v>33</v>
      </c>
      <c r="AE77" s="25" t="s">
        <v>33</v>
      </c>
    </row>
    <row r="78" spans="1:31" ht="15.75" customHeight="1" x14ac:dyDescent="0.25">
      <c r="A78" s="395"/>
      <c r="B78" s="397" t="s">
        <v>9</v>
      </c>
      <c r="C78" s="77" t="s">
        <v>112</v>
      </c>
      <c r="D78" s="44" t="s">
        <v>33</v>
      </c>
      <c r="E78" s="33" t="s">
        <v>33</v>
      </c>
      <c r="F78" s="44" t="s">
        <v>33</v>
      </c>
      <c r="G78" s="33" t="s">
        <v>33</v>
      </c>
      <c r="H78" s="44" t="s">
        <v>33</v>
      </c>
      <c r="I78" s="33" t="s">
        <v>33</v>
      </c>
      <c r="J78" s="44" t="s">
        <v>33</v>
      </c>
      <c r="K78" s="33" t="s">
        <v>33</v>
      </c>
      <c r="L78" s="44" t="s">
        <v>33</v>
      </c>
      <c r="M78" s="33" t="s">
        <v>33</v>
      </c>
      <c r="N78" s="44" t="s">
        <v>33</v>
      </c>
      <c r="O78" s="33" t="s">
        <v>33</v>
      </c>
      <c r="P78" s="44" t="s">
        <v>33</v>
      </c>
      <c r="Q78" s="33" t="s">
        <v>33</v>
      </c>
      <c r="R78" s="44" t="s">
        <v>33</v>
      </c>
      <c r="S78" s="33" t="s">
        <v>33</v>
      </c>
      <c r="T78" s="44" t="s">
        <v>33</v>
      </c>
      <c r="U78" s="33" t="s">
        <v>33</v>
      </c>
      <c r="V78" s="44" t="s">
        <v>33</v>
      </c>
      <c r="W78" s="33" t="s">
        <v>33</v>
      </c>
      <c r="X78" s="44" t="s">
        <v>33</v>
      </c>
      <c r="Y78" s="33" t="s">
        <v>33</v>
      </c>
      <c r="Z78" s="44" t="s">
        <v>33</v>
      </c>
      <c r="AA78" s="23"/>
      <c r="AB78" s="44" t="s">
        <v>42</v>
      </c>
      <c r="AC78" s="33" t="s">
        <v>42</v>
      </c>
      <c r="AD78" s="26" t="s">
        <v>33</v>
      </c>
      <c r="AE78" s="25" t="s">
        <v>42</v>
      </c>
    </row>
    <row r="79" spans="1:31" ht="15.75" customHeight="1" x14ac:dyDescent="0.25">
      <c r="A79" s="395"/>
      <c r="B79" s="397"/>
      <c r="C79" s="77" t="s">
        <v>113</v>
      </c>
      <c r="D79" s="44" t="s">
        <v>33</v>
      </c>
      <c r="E79" s="33" t="s">
        <v>33</v>
      </c>
      <c r="F79" s="44" t="s">
        <v>33</v>
      </c>
      <c r="G79" s="33" t="s">
        <v>33</v>
      </c>
      <c r="H79" s="44" t="s">
        <v>33</v>
      </c>
      <c r="I79" s="33" t="s">
        <v>33</v>
      </c>
      <c r="J79" s="44" t="s">
        <v>33</v>
      </c>
      <c r="K79" s="33" t="s">
        <v>33</v>
      </c>
      <c r="L79" s="44" t="s">
        <v>33</v>
      </c>
      <c r="M79" s="33" t="s">
        <v>33</v>
      </c>
      <c r="N79" s="44" t="s">
        <v>33</v>
      </c>
      <c r="O79" s="33" t="s">
        <v>33</v>
      </c>
      <c r="P79" s="44" t="s">
        <v>33</v>
      </c>
      <c r="Q79" s="33" t="s">
        <v>33</v>
      </c>
      <c r="R79" s="44" t="s">
        <v>33</v>
      </c>
      <c r="S79" s="33" t="s">
        <v>33</v>
      </c>
      <c r="T79" s="44" t="s">
        <v>33</v>
      </c>
      <c r="U79" s="33" t="s">
        <v>33</v>
      </c>
      <c r="V79" s="44" t="s">
        <v>33</v>
      </c>
      <c r="W79" s="33" t="s">
        <v>33</v>
      </c>
      <c r="X79" s="44" t="s">
        <v>33</v>
      </c>
      <c r="Y79" s="33" t="s">
        <v>33</v>
      </c>
      <c r="Z79" s="44" t="s">
        <v>33</v>
      </c>
      <c r="AA79" s="23"/>
      <c r="AB79" s="44" t="s">
        <v>33</v>
      </c>
      <c r="AC79" s="128">
        <v>64</v>
      </c>
      <c r="AD79" s="26" t="s">
        <v>33</v>
      </c>
      <c r="AE79" s="127">
        <v>64</v>
      </c>
    </row>
    <row r="80" spans="1:31" ht="15.75" customHeight="1" x14ac:dyDescent="0.25">
      <c r="A80" s="396"/>
      <c r="B80" s="397"/>
      <c r="C80" s="78" t="s">
        <v>114</v>
      </c>
      <c r="D80" s="44" t="s">
        <v>33</v>
      </c>
      <c r="E80" s="33" t="s">
        <v>33</v>
      </c>
      <c r="F80" s="44" t="s">
        <v>33</v>
      </c>
      <c r="G80" s="33" t="s">
        <v>33</v>
      </c>
      <c r="H80" s="44" t="s">
        <v>33</v>
      </c>
      <c r="I80" s="33" t="s">
        <v>33</v>
      </c>
      <c r="J80" s="44" t="s">
        <v>33</v>
      </c>
      <c r="K80" s="33" t="s">
        <v>33</v>
      </c>
      <c r="L80" s="44" t="s">
        <v>33</v>
      </c>
      <c r="M80" s="33" t="s">
        <v>33</v>
      </c>
      <c r="N80" s="44" t="s">
        <v>33</v>
      </c>
      <c r="O80" s="33" t="s">
        <v>33</v>
      </c>
      <c r="P80" s="44" t="s">
        <v>33</v>
      </c>
      <c r="Q80" s="33" t="s">
        <v>33</v>
      </c>
      <c r="R80" s="44" t="s">
        <v>33</v>
      </c>
      <c r="S80" s="33" t="s">
        <v>33</v>
      </c>
      <c r="T80" s="44" t="s">
        <v>33</v>
      </c>
      <c r="U80" s="33" t="s">
        <v>33</v>
      </c>
      <c r="V80" s="44" t="s">
        <v>33</v>
      </c>
      <c r="W80" s="33" t="s">
        <v>33</v>
      </c>
      <c r="X80" s="44" t="s">
        <v>33</v>
      </c>
      <c r="Y80" s="33" t="s">
        <v>33</v>
      </c>
      <c r="Z80" s="44" t="s">
        <v>33</v>
      </c>
      <c r="AA80" s="47"/>
      <c r="AB80" s="44" t="s">
        <v>33</v>
      </c>
      <c r="AC80" s="33" t="s">
        <v>33</v>
      </c>
      <c r="AD80" s="46" t="s">
        <v>33</v>
      </c>
      <c r="AE80" s="48" t="s">
        <v>33</v>
      </c>
    </row>
    <row r="81" spans="1:31" ht="15.75" customHeight="1" x14ac:dyDescent="0.25">
      <c r="A81" s="1" t="s">
        <v>115</v>
      </c>
      <c r="B81" s="1" t="s">
        <v>115</v>
      </c>
      <c r="C81" s="3" t="s">
        <v>115</v>
      </c>
      <c r="D81" s="49" t="s">
        <v>115</v>
      </c>
      <c r="E81" s="49" t="s">
        <v>115</v>
      </c>
      <c r="F81" s="49" t="s">
        <v>115</v>
      </c>
      <c r="G81" s="49" t="s">
        <v>115</v>
      </c>
      <c r="H81" s="49" t="s">
        <v>115</v>
      </c>
      <c r="I81" s="50" t="s">
        <v>115</v>
      </c>
      <c r="J81" s="49" t="s">
        <v>115</v>
      </c>
      <c r="K81" s="49" t="s">
        <v>115</v>
      </c>
      <c r="L81" s="49" t="s">
        <v>115</v>
      </c>
      <c r="M81" s="49" t="s">
        <v>115</v>
      </c>
      <c r="N81" s="49" t="s">
        <v>115</v>
      </c>
      <c r="O81" s="49" t="s">
        <v>115</v>
      </c>
      <c r="P81" s="49" t="s">
        <v>115</v>
      </c>
      <c r="Q81" s="111" t="s">
        <v>115</v>
      </c>
      <c r="R81" s="49" t="s">
        <v>115</v>
      </c>
      <c r="S81" s="49" t="s">
        <v>115</v>
      </c>
      <c r="T81" s="49" t="s">
        <v>115</v>
      </c>
      <c r="U81" s="49" t="s">
        <v>115</v>
      </c>
      <c r="V81" s="49" t="s">
        <v>115</v>
      </c>
      <c r="W81" s="50" t="s">
        <v>115</v>
      </c>
      <c r="X81" s="51" t="s">
        <v>115</v>
      </c>
      <c r="Y81" s="52" t="s">
        <v>115</v>
      </c>
      <c r="Z81" s="49" t="s">
        <v>115</v>
      </c>
      <c r="AA81" s="49"/>
      <c r="AB81" s="49" t="s">
        <v>115</v>
      </c>
      <c r="AC81" s="50" t="s">
        <v>115</v>
      </c>
      <c r="AD81" s="51" t="s">
        <v>115</v>
      </c>
      <c r="AE81" s="52" t="s">
        <v>115</v>
      </c>
    </row>
    <row r="82" spans="1:31" ht="15.75" customHeight="1" x14ac:dyDescent="0.25">
      <c r="A82" s="399" t="s">
        <v>116</v>
      </c>
      <c r="B82" s="400"/>
      <c r="C82" s="79" t="s">
        <v>117</v>
      </c>
      <c r="D82" s="13">
        <v>1024</v>
      </c>
      <c r="E82" s="53">
        <v>64</v>
      </c>
      <c r="F82" s="112" t="s">
        <v>115</v>
      </c>
      <c r="G82" s="113" t="s">
        <v>115</v>
      </c>
      <c r="H82" s="20">
        <v>1024</v>
      </c>
      <c r="I82" s="53">
        <v>64</v>
      </c>
      <c r="J82" s="112" t="s">
        <v>115</v>
      </c>
      <c r="K82" s="113" t="s">
        <v>115</v>
      </c>
      <c r="L82" s="20">
        <v>1024</v>
      </c>
      <c r="M82" s="53">
        <v>64</v>
      </c>
      <c r="N82" s="13">
        <v>1024</v>
      </c>
      <c r="O82" s="53">
        <v>64</v>
      </c>
      <c r="P82" s="13">
        <v>1024</v>
      </c>
      <c r="Q82" s="53">
        <v>64</v>
      </c>
      <c r="R82" s="13">
        <v>1024</v>
      </c>
      <c r="S82" s="53">
        <v>64</v>
      </c>
      <c r="T82" s="13">
        <v>1024</v>
      </c>
      <c r="U82" s="53">
        <v>265</v>
      </c>
      <c r="V82" s="13">
        <v>1024</v>
      </c>
      <c r="W82" s="14">
        <v>512</v>
      </c>
      <c r="X82" s="54" t="s">
        <v>115</v>
      </c>
      <c r="Y82" s="55" t="s">
        <v>115</v>
      </c>
      <c r="Z82" s="13">
        <v>1024</v>
      </c>
      <c r="AA82" s="96"/>
      <c r="AB82" s="13">
        <v>1024</v>
      </c>
      <c r="AC82" s="14">
        <v>256</v>
      </c>
      <c r="AD82" s="54" t="s">
        <v>115</v>
      </c>
      <c r="AE82" s="55" t="s">
        <v>115</v>
      </c>
    </row>
    <row r="83" spans="1:31" ht="15.75" customHeight="1" x14ac:dyDescent="0.25">
      <c r="A83" s="399"/>
      <c r="B83" s="400"/>
      <c r="C83" s="80" t="s">
        <v>118</v>
      </c>
      <c r="D83" s="13" t="s">
        <v>119</v>
      </c>
      <c r="E83" s="53" t="s">
        <v>120</v>
      </c>
      <c r="F83" s="114" t="s">
        <v>115</v>
      </c>
      <c r="G83" s="115" t="s">
        <v>115</v>
      </c>
      <c r="H83" s="20" t="s">
        <v>121</v>
      </c>
      <c r="I83" s="53" t="s">
        <v>122</v>
      </c>
      <c r="J83" s="114" t="s">
        <v>115</v>
      </c>
      <c r="K83" s="115" t="s">
        <v>115</v>
      </c>
      <c r="L83" s="20" t="s">
        <v>119</v>
      </c>
      <c r="M83" s="53" t="s">
        <v>123</v>
      </c>
      <c r="N83" s="13" t="s">
        <v>119</v>
      </c>
      <c r="O83" s="53" t="s">
        <v>120</v>
      </c>
      <c r="P83" s="13" t="s">
        <v>121</v>
      </c>
      <c r="Q83" s="53" t="s">
        <v>124</v>
      </c>
      <c r="R83" s="13" t="s">
        <v>125</v>
      </c>
      <c r="S83" s="53" t="s">
        <v>126</v>
      </c>
      <c r="T83" s="13" t="s">
        <v>125</v>
      </c>
      <c r="U83" s="53" t="s">
        <v>127</v>
      </c>
      <c r="V83" s="13" t="s">
        <v>121</v>
      </c>
      <c r="W83" s="14" t="s">
        <v>123</v>
      </c>
      <c r="X83" s="56" t="s">
        <v>115</v>
      </c>
      <c r="Y83" s="57" t="s">
        <v>115</v>
      </c>
      <c r="Z83" s="13" t="s">
        <v>125</v>
      </c>
      <c r="AA83" s="96"/>
      <c r="AB83" s="13" t="s">
        <v>121</v>
      </c>
      <c r="AC83" s="14" t="s">
        <v>128</v>
      </c>
      <c r="AD83" s="56" t="s">
        <v>115</v>
      </c>
      <c r="AE83" s="57" t="s">
        <v>115</v>
      </c>
    </row>
    <row r="84" spans="1:31" ht="15.75" customHeight="1" x14ac:dyDescent="0.25">
      <c r="A84" s="1" t="s">
        <v>115</v>
      </c>
      <c r="B84" s="1" t="s">
        <v>115</v>
      </c>
      <c r="C84" s="3" t="s">
        <v>115</v>
      </c>
      <c r="D84" s="1" t="s">
        <v>115</v>
      </c>
      <c r="E84" s="1" t="s">
        <v>115</v>
      </c>
      <c r="F84" s="1" t="s">
        <v>115</v>
      </c>
      <c r="G84" s="1" t="s">
        <v>115</v>
      </c>
      <c r="H84" s="1" t="s">
        <v>115</v>
      </c>
      <c r="I84" s="2" t="s">
        <v>115</v>
      </c>
      <c r="J84" s="1" t="s">
        <v>115</v>
      </c>
      <c r="K84" s="1" t="s">
        <v>115</v>
      </c>
      <c r="L84" s="1" t="s">
        <v>115</v>
      </c>
      <c r="M84" s="1" t="s">
        <v>115</v>
      </c>
      <c r="N84" s="1" t="s">
        <v>115</v>
      </c>
      <c r="O84" s="1" t="s">
        <v>115</v>
      </c>
      <c r="P84" s="1" t="s">
        <v>115</v>
      </c>
      <c r="Q84" s="81" t="s">
        <v>115</v>
      </c>
      <c r="R84" s="1" t="s">
        <v>115</v>
      </c>
      <c r="S84" s="1" t="s">
        <v>115</v>
      </c>
      <c r="T84" s="1" t="s">
        <v>115</v>
      </c>
      <c r="U84" s="1" t="s">
        <v>115</v>
      </c>
      <c r="V84" s="1" t="s">
        <v>115</v>
      </c>
      <c r="W84" s="2" t="s">
        <v>115</v>
      </c>
      <c r="X84" s="4" t="s">
        <v>115</v>
      </c>
      <c r="Y84" s="5" t="s">
        <v>115</v>
      </c>
      <c r="Z84" s="1" t="s">
        <v>115</v>
      </c>
      <c r="AA84" s="1" t="s">
        <v>115</v>
      </c>
      <c r="AB84" s="1" t="s">
        <v>115</v>
      </c>
      <c r="AC84" s="2" t="s">
        <v>115</v>
      </c>
      <c r="AD84" s="4" t="s">
        <v>115</v>
      </c>
      <c r="AE84" s="5" t="s">
        <v>115</v>
      </c>
    </row>
    <row r="85" spans="1:31" ht="15.75" customHeight="1" x14ac:dyDescent="0.25">
      <c r="A85" s="58"/>
      <c r="B85" s="58"/>
      <c r="C85" s="82" t="s">
        <v>129</v>
      </c>
      <c r="D85" s="8">
        <v>41044</v>
      </c>
      <c r="E85" s="8">
        <v>40081</v>
      </c>
      <c r="F85" s="6">
        <v>31966</v>
      </c>
      <c r="G85" s="8">
        <v>30966</v>
      </c>
      <c r="H85" s="8">
        <v>31713</v>
      </c>
      <c r="I85" s="83">
        <v>30953</v>
      </c>
      <c r="J85" s="8">
        <v>20064</v>
      </c>
      <c r="K85" s="84">
        <v>19220</v>
      </c>
      <c r="L85" s="6">
        <v>57106</v>
      </c>
      <c r="M85" s="84">
        <v>55970</v>
      </c>
      <c r="N85" s="85">
        <v>38587</v>
      </c>
      <c r="O85" s="86">
        <v>37455</v>
      </c>
      <c r="P85" s="87">
        <v>37325</v>
      </c>
      <c r="Q85" s="88">
        <v>36673</v>
      </c>
      <c r="R85" s="85">
        <v>68639</v>
      </c>
      <c r="S85" s="89">
        <v>68543</v>
      </c>
      <c r="T85" s="6">
        <v>48741</v>
      </c>
      <c r="U85" s="7">
        <v>47353</v>
      </c>
      <c r="V85" s="8">
        <v>156194</v>
      </c>
      <c r="W85" s="9">
        <v>155758</v>
      </c>
      <c r="X85" s="10">
        <v>143941</v>
      </c>
      <c r="Y85" s="11">
        <v>143433</v>
      </c>
      <c r="Z85" s="8" t="s">
        <v>115</v>
      </c>
      <c r="AA85" s="7" t="s">
        <v>115</v>
      </c>
      <c r="AB85" s="8">
        <v>55429</v>
      </c>
      <c r="AC85" s="9">
        <v>54985</v>
      </c>
      <c r="AD85" s="10">
        <v>43259</v>
      </c>
      <c r="AE85" s="11">
        <f>41419+1476</f>
        <v>42895</v>
      </c>
    </row>
    <row r="86" spans="1:31" ht="15.75" customHeight="1" x14ac:dyDescent="0.25">
      <c r="A86" s="58"/>
      <c r="B86" s="58"/>
      <c r="C86" s="90" t="s">
        <v>130</v>
      </c>
      <c r="D86" s="10">
        <v>78120</v>
      </c>
      <c r="E86" s="10">
        <v>38668</v>
      </c>
      <c r="F86" s="12">
        <v>27449</v>
      </c>
      <c r="G86" s="10">
        <v>11877</v>
      </c>
      <c r="H86" s="10">
        <v>44552</v>
      </c>
      <c r="I86" s="10">
        <v>19976</v>
      </c>
      <c r="J86" s="10">
        <v>10268</v>
      </c>
      <c r="K86" s="88">
        <v>4128</v>
      </c>
      <c r="L86" s="12">
        <v>77960</v>
      </c>
      <c r="M86" s="88">
        <v>33056</v>
      </c>
      <c r="N86" s="91">
        <v>79868</v>
      </c>
      <c r="O86" s="10">
        <v>33276</v>
      </c>
      <c r="P86" s="10">
        <v>48784</v>
      </c>
      <c r="Q86" s="88">
        <v>14928</v>
      </c>
      <c r="R86" s="91">
        <v>182932</v>
      </c>
      <c r="S86" s="88">
        <v>76948</v>
      </c>
      <c r="T86" s="12">
        <v>116269</v>
      </c>
      <c r="U86" s="11">
        <v>34605</v>
      </c>
      <c r="V86" s="10">
        <v>49623</v>
      </c>
      <c r="W86" s="11">
        <v>29655</v>
      </c>
      <c r="X86" s="10">
        <v>15280</v>
      </c>
      <c r="Y86" s="11">
        <v>11696</v>
      </c>
      <c r="Z86" s="10" t="s">
        <v>115</v>
      </c>
      <c r="AA86" s="11" t="s">
        <v>115</v>
      </c>
      <c r="AB86" s="10">
        <v>120611</v>
      </c>
      <c r="AC86" s="11">
        <v>62251</v>
      </c>
      <c r="AD86" s="10">
        <v>86249</v>
      </c>
      <c r="AE86" s="11">
        <v>26605</v>
      </c>
    </row>
    <row r="87" spans="1:31" ht="15.75" customHeight="1" x14ac:dyDescent="0.25">
      <c r="A87" s="58"/>
      <c r="B87" s="58"/>
      <c r="C87" s="90" t="s">
        <v>131</v>
      </c>
      <c r="D87" s="10">
        <v>24576</v>
      </c>
      <c r="E87" s="10">
        <v>10724</v>
      </c>
      <c r="F87" s="12">
        <v>24600</v>
      </c>
      <c r="G87" s="10">
        <v>9004</v>
      </c>
      <c r="H87" s="10">
        <v>7168</v>
      </c>
      <c r="I87" s="10">
        <v>1160</v>
      </c>
      <c r="J87" s="10">
        <v>7168</v>
      </c>
      <c r="K87" s="88">
        <v>1028</v>
      </c>
      <c r="L87" s="12">
        <v>24576</v>
      </c>
      <c r="M87" s="88">
        <v>13118</v>
      </c>
      <c r="N87" s="91">
        <v>24576</v>
      </c>
      <c r="O87" s="10">
        <v>3584</v>
      </c>
      <c r="P87" s="10">
        <v>7168</v>
      </c>
      <c r="Q87" s="88">
        <v>2048</v>
      </c>
      <c r="R87" s="91">
        <v>112640</v>
      </c>
      <c r="S87" s="88">
        <v>28160</v>
      </c>
      <c r="T87" s="12">
        <v>43008</v>
      </c>
      <c r="U87" s="11">
        <v>6400</v>
      </c>
      <c r="V87" s="10">
        <v>7168</v>
      </c>
      <c r="W87" s="11">
        <v>4608</v>
      </c>
      <c r="X87" s="10">
        <v>7168</v>
      </c>
      <c r="Y87" s="11">
        <v>3584</v>
      </c>
      <c r="Z87" s="10" t="s">
        <v>115</v>
      </c>
      <c r="AA87" s="11" t="s">
        <v>115</v>
      </c>
      <c r="AB87" s="10">
        <v>61440</v>
      </c>
      <c r="AC87" s="11">
        <v>3072</v>
      </c>
      <c r="AD87" s="10">
        <v>61440</v>
      </c>
      <c r="AE87" s="11">
        <v>1792</v>
      </c>
    </row>
    <row r="88" spans="1:31" ht="15.75" customHeight="1" x14ac:dyDescent="0.25">
      <c r="A88" s="58"/>
      <c r="B88" s="58"/>
      <c r="C88" s="92" t="s">
        <v>132</v>
      </c>
      <c r="D88" s="393">
        <v>2.35E-2</v>
      </c>
      <c r="E88" s="392"/>
      <c r="F88" s="393">
        <v>3.1300000000000001E-2</v>
      </c>
      <c r="G88" s="415"/>
      <c r="H88" s="393">
        <v>2.4E-2</v>
      </c>
      <c r="I88" s="415"/>
      <c r="J88" s="393">
        <v>4.2099999999999999E-2</v>
      </c>
      <c r="K88" s="392"/>
      <c r="L88" s="393">
        <v>1.9900000000000001E-2</v>
      </c>
      <c r="M88" s="392"/>
      <c r="N88" s="393">
        <v>2.93E-2</v>
      </c>
      <c r="O88" s="415"/>
      <c r="P88" s="393">
        <v>1.7500000000000002E-2</v>
      </c>
      <c r="Q88" s="392"/>
      <c r="R88" s="393">
        <v>1.4E-3</v>
      </c>
      <c r="S88" s="394"/>
      <c r="T88" s="391">
        <v>2.8500000000000001E-2</v>
      </c>
      <c r="U88" s="392"/>
      <c r="V88" s="393">
        <v>2.8E-3</v>
      </c>
      <c r="W88" s="392"/>
      <c r="X88" s="393">
        <v>3.5000000000000001E-3</v>
      </c>
      <c r="Y88" s="392"/>
      <c r="Z88" s="394" t="s">
        <v>115</v>
      </c>
      <c r="AA88" s="392"/>
      <c r="AB88" s="393">
        <v>8.0000000000000002E-3</v>
      </c>
      <c r="AC88" s="392"/>
      <c r="AD88" s="393">
        <v>7.9000000000000008E-3</v>
      </c>
      <c r="AE88" s="392"/>
    </row>
    <row r="89" spans="1:31" ht="15.75" customHeight="1" x14ac:dyDescent="0.25">
      <c r="A89" s="58"/>
      <c r="B89" s="58"/>
      <c r="C89" s="93" t="s">
        <v>133</v>
      </c>
      <c r="D89" s="401">
        <v>0.505</v>
      </c>
      <c r="E89" s="402"/>
      <c r="F89" s="401">
        <v>0.56730000000000003</v>
      </c>
      <c r="G89" s="402"/>
      <c r="H89" s="401">
        <v>0.55159999999999998</v>
      </c>
      <c r="I89" s="414"/>
      <c r="J89" s="401">
        <v>0.59799999999999998</v>
      </c>
      <c r="K89" s="402"/>
      <c r="L89" s="401">
        <v>0.57599999999999996</v>
      </c>
      <c r="M89" s="402"/>
      <c r="N89" s="401">
        <v>0.58340000000000003</v>
      </c>
      <c r="O89" s="414"/>
      <c r="P89" s="401">
        <v>0.69399999999999995</v>
      </c>
      <c r="Q89" s="402"/>
      <c r="R89" s="401">
        <v>0.57940000000000003</v>
      </c>
      <c r="S89" s="408"/>
      <c r="T89" s="407">
        <v>0.70240000000000002</v>
      </c>
      <c r="U89" s="402"/>
      <c r="V89" s="401">
        <v>0.40239999999999998</v>
      </c>
      <c r="W89" s="402"/>
      <c r="X89" s="401">
        <v>0.2346</v>
      </c>
      <c r="Y89" s="402"/>
      <c r="Z89" s="408" t="s">
        <v>115</v>
      </c>
      <c r="AA89" s="402"/>
      <c r="AB89" s="401">
        <v>0.6623</v>
      </c>
      <c r="AC89" s="402"/>
      <c r="AD89" s="401">
        <v>0.69450000000000001</v>
      </c>
      <c r="AE89" s="402"/>
    </row>
    <row r="90" spans="1:31" ht="15.75" customHeight="1" x14ac:dyDescent="0.25">
      <c r="A90" s="58"/>
      <c r="B90" s="58"/>
      <c r="C90" s="94" t="s">
        <v>134</v>
      </c>
      <c r="D90" s="405">
        <v>0.56359999999999999</v>
      </c>
      <c r="E90" s="404"/>
      <c r="F90" s="405">
        <v>0.63400000000000001</v>
      </c>
      <c r="G90" s="404"/>
      <c r="H90" s="405">
        <v>0.83819999999999995</v>
      </c>
      <c r="I90" s="413"/>
      <c r="J90" s="405">
        <v>0.85660000000000003</v>
      </c>
      <c r="K90" s="404"/>
      <c r="L90" s="405">
        <v>0.4662</v>
      </c>
      <c r="M90" s="404"/>
      <c r="N90" s="409">
        <v>0.85419999999999996</v>
      </c>
      <c r="O90" s="410"/>
      <c r="P90" s="409">
        <v>0.71430000000000005</v>
      </c>
      <c r="Q90" s="411"/>
      <c r="R90" s="409">
        <v>0.75</v>
      </c>
      <c r="S90" s="412"/>
      <c r="T90" s="403">
        <v>0.85119999999999996</v>
      </c>
      <c r="U90" s="404"/>
      <c r="V90" s="405">
        <v>0.35709999999999997</v>
      </c>
      <c r="W90" s="404"/>
      <c r="X90" s="405">
        <v>0.5</v>
      </c>
      <c r="Y90" s="404"/>
      <c r="Z90" s="406" t="s">
        <v>115</v>
      </c>
      <c r="AA90" s="404"/>
      <c r="AB90" s="405">
        <v>0.95</v>
      </c>
      <c r="AC90" s="404"/>
      <c r="AD90" s="405">
        <v>0.97499999999999998</v>
      </c>
      <c r="AE90" s="404"/>
    </row>
    <row r="91" spans="1:31" ht="15.75" customHeight="1" x14ac:dyDescent="0.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</row>
    <row r="92" spans="1:31" ht="15.75" customHeight="1" x14ac:dyDescent="0.25">
      <c r="A92" s="58"/>
      <c r="B92" s="58"/>
      <c r="C92" s="95" t="s">
        <v>115</v>
      </c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</row>
    <row r="93" spans="1:31" ht="15.75" customHeight="1" x14ac:dyDescent="0.25">
      <c r="A93" s="58"/>
      <c r="B93" s="58"/>
      <c r="C93" s="129" t="s">
        <v>135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</row>
    <row r="94" spans="1:31" ht="15.75" customHeight="1" x14ac:dyDescent="0.25">
      <c r="A94" s="58"/>
      <c r="B94" s="58"/>
      <c r="C94" s="129" t="s">
        <v>115</v>
      </c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</row>
    <row r="95" spans="1:31" ht="15.75" customHeight="1" x14ac:dyDescent="0.25">
      <c r="A95" s="58"/>
      <c r="B95" s="58"/>
      <c r="C95" s="129" t="s">
        <v>136</v>
      </c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</row>
    <row r="96" spans="1:31" ht="15.75" customHeight="1" x14ac:dyDescent="0.25">
      <c r="A96" s="58"/>
      <c r="B96" s="58"/>
      <c r="C96" s="129" t="s">
        <v>115</v>
      </c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</row>
    <row r="97" spans="1:31" ht="15.75" customHeight="1" x14ac:dyDescent="0.25">
      <c r="A97" s="58"/>
      <c r="B97" s="58"/>
      <c r="C97" s="129" t="s">
        <v>115</v>
      </c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</row>
    <row r="98" spans="1:31" ht="15.75" customHeight="1" x14ac:dyDescent="0.25">
      <c r="A98" s="58"/>
      <c r="B98" s="58"/>
      <c r="C98" s="129" t="s">
        <v>115</v>
      </c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</row>
  </sheetData>
  <mergeCells count="116">
    <mergeCell ref="L90:M90"/>
    <mergeCell ref="P88:Q88"/>
    <mergeCell ref="R88:S88"/>
    <mergeCell ref="D89:E89"/>
    <mergeCell ref="F89:G89"/>
    <mergeCell ref="H89:I89"/>
    <mergeCell ref="J89:K89"/>
    <mergeCell ref="L89:M89"/>
    <mergeCell ref="N89:O89"/>
    <mergeCell ref="P89:Q89"/>
    <mergeCell ref="R89:S89"/>
    <mergeCell ref="F88:G88"/>
    <mergeCell ref="H88:I88"/>
    <mergeCell ref="J88:K88"/>
    <mergeCell ref="L88:M88"/>
    <mergeCell ref="N88:O88"/>
    <mergeCell ref="A75:A80"/>
    <mergeCell ref="B75:B77"/>
    <mergeCell ref="B78:B80"/>
    <mergeCell ref="A82:B83"/>
    <mergeCell ref="D88:E88"/>
    <mergeCell ref="AD89:AE89"/>
    <mergeCell ref="T90:U90"/>
    <mergeCell ref="V90:W90"/>
    <mergeCell ref="X90:Y90"/>
    <mergeCell ref="Z90:AA90"/>
    <mergeCell ref="AB90:AC90"/>
    <mergeCell ref="AD90:AE90"/>
    <mergeCell ref="T89:U89"/>
    <mergeCell ref="V89:W89"/>
    <mergeCell ref="X89:Y89"/>
    <mergeCell ref="Z89:AA89"/>
    <mergeCell ref="AB89:AC89"/>
    <mergeCell ref="N90:O90"/>
    <mergeCell ref="P90:Q90"/>
    <mergeCell ref="R90:S90"/>
    <mergeCell ref="D90:E90"/>
    <mergeCell ref="F90:G90"/>
    <mergeCell ref="H90:I90"/>
    <mergeCell ref="J90:K90"/>
    <mergeCell ref="AD8:AE8"/>
    <mergeCell ref="T88:U88"/>
    <mergeCell ref="V88:W88"/>
    <mergeCell ref="X88:Y88"/>
    <mergeCell ref="Z88:AA88"/>
    <mergeCell ref="AB88:AC88"/>
    <mergeCell ref="AD88:AE88"/>
    <mergeCell ref="T8:U8"/>
    <mergeCell ref="V8:W8"/>
    <mergeCell ref="X8:Y8"/>
    <mergeCell ref="Z8:AA8"/>
    <mergeCell ref="AB8:AC8"/>
    <mergeCell ref="T7:U7"/>
    <mergeCell ref="V7:W7"/>
    <mergeCell ref="X7:Y7"/>
    <mergeCell ref="Z7:AA7"/>
    <mergeCell ref="AB7:AC7"/>
    <mergeCell ref="AD7:AE7"/>
    <mergeCell ref="T6:U6"/>
    <mergeCell ref="V6:W6"/>
    <mergeCell ref="X6:Y6"/>
    <mergeCell ref="Z6:AA6"/>
    <mergeCell ref="AB6:AC6"/>
    <mergeCell ref="T4:Y4"/>
    <mergeCell ref="Z4:AE4"/>
    <mergeCell ref="T5:U5"/>
    <mergeCell ref="V5:Y5"/>
    <mergeCell ref="Z5:AA5"/>
    <mergeCell ref="AB5:AE5"/>
    <mergeCell ref="L4:M4"/>
    <mergeCell ref="L5:M5"/>
    <mergeCell ref="L6:M6"/>
    <mergeCell ref="R4:S4"/>
    <mergeCell ref="R5:S5"/>
    <mergeCell ref="R6:S6"/>
    <mergeCell ref="AD6:AE6"/>
    <mergeCell ref="D4:K4"/>
    <mergeCell ref="N4:Q4"/>
    <mergeCell ref="N5:O5"/>
    <mergeCell ref="P5:Q5"/>
    <mergeCell ref="N6:O6"/>
    <mergeCell ref="P6:Q6"/>
    <mergeCell ref="H5:K5"/>
    <mergeCell ref="C2:J2"/>
    <mergeCell ref="N8:O8"/>
    <mergeCell ref="J7:K7"/>
    <mergeCell ref="L7:M7"/>
    <mergeCell ref="N7:O7"/>
    <mergeCell ref="D6:E6"/>
    <mergeCell ref="F6:G6"/>
    <mergeCell ref="H6:I6"/>
    <mergeCell ref="J6:K6"/>
    <mergeCell ref="D8:E8"/>
    <mergeCell ref="F8:G8"/>
    <mergeCell ref="H8:I8"/>
    <mergeCell ref="D5:G5"/>
    <mergeCell ref="R7:S7"/>
    <mergeCell ref="R8:S8"/>
    <mergeCell ref="B50:B57"/>
    <mergeCell ref="A50:A61"/>
    <mergeCell ref="B58:B61"/>
    <mergeCell ref="A62:A70"/>
    <mergeCell ref="B62:B68"/>
    <mergeCell ref="B69:B70"/>
    <mergeCell ref="A71:A73"/>
    <mergeCell ref="B71:B73"/>
    <mergeCell ref="B10:B23"/>
    <mergeCell ref="B25:B37"/>
    <mergeCell ref="P7:Q7"/>
    <mergeCell ref="D7:E7"/>
    <mergeCell ref="F7:G7"/>
    <mergeCell ref="H7:I7"/>
    <mergeCell ref="P8:Q8"/>
    <mergeCell ref="J8:K8"/>
    <mergeCell ref="L8:M8"/>
    <mergeCell ref="B38:B49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AA3D-DA9D-4545-9708-63E15F8C7450}">
  <sheetPr>
    <tabColor rgb="FFC00000"/>
  </sheetPr>
  <dimension ref="B1:M64"/>
  <sheetViews>
    <sheetView topLeftCell="E29" zoomScaleNormal="100" workbookViewId="0">
      <selection activeCell="G53" sqref="G53:M64"/>
    </sheetView>
  </sheetViews>
  <sheetFormatPr defaultRowHeight="15" x14ac:dyDescent="0.25"/>
  <cols>
    <col min="2" max="2" width="24" customWidth="1"/>
    <col min="3" max="3" width="21.7109375" customWidth="1"/>
    <col min="4" max="4" width="24.42578125" customWidth="1"/>
    <col min="5" max="5" width="25.5703125" customWidth="1"/>
    <col min="6" max="6" width="25.140625" customWidth="1"/>
    <col min="7" max="7" width="38.28515625" customWidth="1"/>
  </cols>
  <sheetData>
    <row r="1" spans="2:7" ht="51.6" customHeight="1" x14ac:dyDescent="0.25">
      <c r="B1" s="437" t="s">
        <v>264</v>
      </c>
      <c r="C1" s="437"/>
      <c r="D1" s="437"/>
      <c r="E1" s="437"/>
      <c r="F1" s="437"/>
      <c r="G1" s="437"/>
    </row>
    <row r="2" spans="2:7" ht="15.75" thickBot="1" x14ac:dyDescent="0.3"/>
    <row r="3" spans="2:7" ht="38.25" thickBot="1" x14ac:dyDescent="0.3">
      <c r="B3" s="438" t="s">
        <v>268</v>
      </c>
      <c r="C3" s="439"/>
      <c r="D3" s="162" t="s">
        <v>178</v>
      </c>
      <c r="E3" s="161" t="s">
        <v>139</v>
      </c>
      <c r="F3" s="163" t="s">
        <v>179</v>
      </c>
      <c r="G3" s="164" t="s">
        <v>180</v>
      </c>
    </row>
    <row r="4" spans="2:7" ht="16.5" x14ac:dyDescent="0.3">
      <c r="B4" s="440" t="s">
        <v>274</v>
      </c>
      <c r="C4" s="145" t="s">
        <v>181</v>
      </c>
      <c r="D4" s="147">
        <v>54095</v>
      </c>
      <c r="E4" s="148">
        <v>52655</v>
      </c>
      <c r="F4" s="149">
        <v>-2.35E-2</v>
      </c>
      <c r="G4" s="150">
        <f t="shared" ref="G4:G12" si="0">((E4-D4)/D4)</f>
        <v>-2.661983547462797E-2</v>
      </c>
    </row>
    <row r="5" spans="2:7" ht="16.5" x14ac:dyDescent="0.3">
      <c r="B5" s="441"/>
      <c r="C5" s="131" t="s">
        <v>182</v>
      </c>
      <c r="D5" s="151">
        <v>43733</v>
      </c>
      <c r="E5" s="152">
        <v>36657</v>
      </c>
      <c r="F5" s="153">
        <v>-0.505</v>
      </c>
      <c r="G5" s="154">
        <f t="shared" si="0"/>
        <v>-0.16180001371961678</v>
      </c>
    </row>
    <row r="6" spans="2:7" ht="15.75" thickBot="1" x14ac:dyDescent="0.3">
      <c r="B6" s="442"/>
      <c r="C6" s="146" t="s">
        <v>183</v>
      </c>
      <c r="D6" s="155">
        <v>0.97</v>
      </c>
      <c r="E6" s="155">
        <v>0.71</v>
      </c>
      <c r="F6" s="159" t="s">
        <v>184</v>
      </c>
      <c r="G6" s="157">
        <f t="shared" si="0"/>
        <v>-0.26804123711340205</v>
      </c>
    </row>
    <row r="7" spans="2:7" ht="16.5" x14ac:dyDescent="0.3">
      <c r="B7" s="443" t="s">
        <v>275</v>
      </c>
      <c r="C7" s="145" t="s">
        <v>181</v>
      </c>
      <c r="D7" s="148">
        <v>33260</v>
      </c>
      <c r="E7" s="148">
        <v>33284</v>
      </c>
      <c r="F7" s="149">
        <v>-1.7500000000000002E-2</v>
      </c>
      <c r="G7" s="150">
        <f t="shared" si="0"/>
        <v>7.2158749248346361E-4</v>
      </c>
    </row>
    <row r="8" spans="2:7" ht="16.5" x14ac:dyDescent="0.3">
      <c r="B8" s="444"/>
      <c r="C8" s="131" t="s">
        <v>182</v>
      </c>
      <c r="D8" s="151">
        <v>18830</v>
      </c>
      <c r="E8" s="151">
        <v>17422</v>
      </c>
      <c r="F8" s="158">
        <v>-0.69399999999999995</v>
      </c>
      <c r="G8" s="154">
        <f t="shared" si="0"/>
        <v>-7.4774296335634621E-2</v>
      </c>
    </row>
    <row r="9" spans="2:7" ht="15.75" thickBot="1" x14ac:dyDescent="0.3">
      <c r="B9" s="445"/>
      <c r="C9" s="146" t="s">
        <v>183</v>
      </c>
      <c r="D9" s="155">
        <v>0.6</v>
      </c>
      <c r="E9" s="155">
        <v>0.5</v>
      </c>
      <c r="F9" s="159" t="s">
        <v>184</v>
      </c>
      <c r="G9" s="160">
        <f t="shared" si="0"/>
        <v>-0.16666666666666663</v>
      </c>
    </row>
    <row r="10" spans="2:7" ht="17.25" thickBot="1" x14ac:dyDescent="0.35">
      <c r="B10" s="446" t="s">
        <v>276</v>
      </c>
      <c r="C10" s="145" t="s">
        <v>181</v>
      </c>
      <c r="D10" s="148">
        <v>70480</v>
      </c>
      <c r="E10" s="148">
        <v>70476</v>
      </c>
      <c r="F10" s="149">
        <v>-1.9900000000000001E-2</v>
      </c>
      <c r="G10" s="150">
        <f t="shared" si="0"/>
        <v>-5.6753688989784337E-5</v>
      </c>
    </row>
    <row r="11" spans="2:7" ht="16.5" x14ac:dyDescent="0.3">
      <c r="B11" s="447"/>
      <c r="C11" s="131" t="s">
        <v>182</v>
      </c>
      <c r="D11" s="151">
        <v>108109</v>
      </c>
      <c r="E11" s="148">
        <v>69197</v>
      </c>
      <c r="F11" s="158">
        <v>-0.57599999999999996</v>
      </c>
      <c r="G11" s="154">
        <f t="shared" si="0"/>
        <v>-0.35993303055249792</v>
      </c>
    </row>
    <row r="12" spans="2:7" ht="15.75" thickBot="1" x14ac:dyDescent="0.3">
      <c r="B12" s="448"/>
      <c r="C12" s="146" t="s">
        <v>183</v>
      </c>
      <c r="D12" s="155">
        <v>2.77</v>
      </c>
      <c r="E12" s="155">
        <v>2.2400000000000002</v>
      </c>
      <c r="F12" s="156" t="s">
        <v>184</v>
      </c>
      <c r="G12" s="160">
        <f t="shared" si="0"/>
        <v>-0.19133574007220208</v>
      </c>
    </row>
    <row r="15" spans="2:7" ht="15.75" thickBot="1" x14ac:dyDescent="0.3"/>
    <row r="16" spans="2:7" ht="19.5" thickBot="1" x14ac:dyDescent="0.3">
      <c r="B16" s="438" t="s">
        <v>268</v>
      </c>
      <c r="C16" s="439"/>
      <c r="D16" s="282" t="s">
        <v>190</v>
      </c>
      <c r="E16" s="283" t="s">
        <v>263</v>
      </c>
      <c r="F16" s="279" t="s">
        <v>264</v>
      </c>
    </row>
    <row r="17" spans="2:9" ht="14.45" customHeight="1" x14ac:dyDescent="0.25">
      <c r="B17" s="440" t="s">
        <v>274</v>
      </c>
      <c r="C17" s="269" t="s">
        <v>181</v>
      </c>
      <c r="D17" s="269">
        <v>61380</v>
      </c>
      <c r="E17" s="269">
        <v>52655</v>
      </c>
      <c r="F17" s="274">
        <v>-0.14214727924405343</v>
      </c>
    </row>
    <row r="18" spans="2:9" ht="14.45" customHeight="1" x14ac:dyDescent="0.25">
      <c r="B18" s="441"/>
      <c r="C18" s="131" t="s">
        <v>182</v>
      </c>
      <c r="D18" s="131">
        <v>77896</v>
      </c>
      <c r="E18" s="131">
        <v>36657</v>
      </c>
      <c r="F18" s="272">
        <v>-0.52941100955119647</v>
      </c>
    </row>
    <row r="19" spans="2:9" ht="15" customHeight="1" thickBot="1" x14ac:dyDescent="0.3">
      <c r="B19" s="442"/>
      <c r="C19" s="277" t="s">
        <v>183</v>
      </c>
      <c r="D19" s="278">
        <v>1.59</v>
      </c>
      <c r="E19" s="278">
        <v>0.71</v>
      </c>
      <c r="F19" s="271">
        <v>-0.55345911949685545</v>
      </c>
    </row>
    <row r="20" spans="2:9" ht="14.45" customHeight="1" x14ac:dyDescent="0.25">
      <c r="B20" s="443" t="s">
        <v>275</v>
      </c>
      <c r="C20" s="145" t="s">
        <v>181</v>
      </c>
      <c r="D20" s="145">
        <v>45224</v>
      </c>
      <c r="E20" s="145">
        <v>33284</v>
      </c>
      <c r="F20" s="270">
        <v>-0.26401910490005309</v>
      </c>
      <c r="I20" s="281"/>
    </row>
    <row r="21" spans="2:9" ht="14.45" customHeight="1" x14ac:dyDescent="0.25">
      <c r="B21" s="444"/>
      <c r="C21" s="131" t="s">
        <v>182</v>
      </c>
      <c r="D21" s="131">
        <v>53090</v>
      </c>
      <c r="E21" s="131">
        <v>17422</v>
      </c>
      <c r="F21" s="272">
        <v>-0.67184027123752121</v>
      </c>
    </row>
    <row r="22" spans="2:9" ht="15" customHeight="1" thickBot="1" x14ac:dyDescent="0.3">
      <c r="B22" s="445"/>
      <c r="C22" s="276" t="s">
        <v>183</v>
      </c>
      <c r="D22" s="275">
        <v>10.98</v>
      </c>
      <c r="E22" s="275">
        <v>0.5</v>
      </c>
      <c r="F22" s="273">
        <v>-0.95446265938069219</v>
      </c>
    </row>
    <row r="23" spans="2:9" ht="14.45" customHeight="1" x14ac:dyDescent="0.25">
      <c r="B23" s="446" t="s">
        <v>276</v>
      </c>
      <c r="C23" s="145" t="s">
        <v>181</v>
      </c>
      <c r="D23" s="145">
        <v>132712</v>
      </c>
      <c r="E23" s="145">
        <v>70476</v>
      </c>
      <c r="F23" s="270">
        <v>-0.46895533184640426</v>
      </c>
    </row>
    <row r="24" spans="2:9" ht="14.45" customHeight="1" x14ac:dyDescent="0.25">
      <c r="B24" s="447"/>
      <c r="C24" s="131" t="s">
        <v>182</v>
      </c>
      <c r="D24" s="131">
        <v>121252</v>
      </c>
      <c r="E24" s="131">
        <v>69197</v>
      </c>
      <c r="F24" s="272">
        <v>-0.42931250618546496</v>
      </c>
    </row>
    <row r="25" spans="2:9" ht="15" customHeight="1" thickBot="1" x14ac:dyDescent="0.3">
      <c r="B25" s="448"/>
      <c r="C25" s="277" t="s">
        <v>183</v>
      </c>
      <c r="D25" s="278">
        <v>3.84</v>
      </c>
      <c r="E25" s="278">
        <v>2.2400000000000002</v>
      </c>
      <c r="F25" s="271">
        <v>-0.41666666666666657</v>
      </c>
    </row>
    <row r="28" spans="2:9" ht="46.5" x14ac:dyDescent="0.25">
      <c r="B28" s="437" t="s">
        <v>267</v>
      </c>
      <c r="C28" s="437"/>
      <c r="D28" s="437"/>
      <c r="E28" s="437"/>
      <c r="F28" s="437"/>
      <c r="G28" s="437"/>
    </row>
    <row r="29" spans="2:9" ht="15.75" thickBot="1" x14ac:dyDescent="0.3"/>
    <row r="30" spans="2:9" x14ac:dyDescent="0.25">
      <c r="B30" s="432" t="s">
        <v>269</v>
      </c>
      <c r="C30" s="433"/>
      <c r="D30" s="433" t="s">
        <v>270</v>
      </c>
      <c r="E30" s="433"/>
      <c r="F30" s="436"/>
    </row>
    <row r="31" spans="2:9" ht="15.75" thickBot="1" x14ac:dyDescent="0.3">
      <c r="B31" s="434"/>
      <c r="C31" s="435"/>
      <c r="D31" s="237" t="s">
        <v>255</v>
      </c>
      <c r="E31" s="237" t="s">
        <v>228</v>
      </c>
      <c r="F31" s="238" t="s">
        <v>256</v>
      </c>
    </row>
    <row r="32" spans="2:9" x14ac:dyDescent="0.25">
      <c r="B32" s="419" t="s">
        <v>272</v>
      </c>
      <c r="C32" s="239" t="s">
        <v>181</v>
      </c>
      <c r="D32" s="240">
        <v>16377</v>
      </c>
      <c r="E32" s="240">
        <v>13728</v>
      </c>
      <c r="F32" s="241">
        <f t="shared" ref="F32:F35" si="1">(D32-E32)/E32</f>
        <v>0.19296328671328672</v>
      </c>
    </row>
    <row r="33" spans="2:6" ht="15.75" thickBot="1" x14ac:dyDescent="0.3">
      <c r="B33" s="420"/>
      <c r="C33" s="242" t="s">
        <v>182</v>
      </c>
      <c r="D33" s="243">
        <v>2422</v>
      </c>
      <c r="E33" s="243">
        <v>1702</v>
      </c>
      <c r="F33" s="244">
        <f t="shared" si="1"/>
        <v>0.42303172737955347</v>
      </c>
    </row>
    <row r="34" spans="2:6" x14ac:dyDescent="0.25">
      <c r="B34" s="421" t="s">
        <v>271</v>
      </c>
      <c r="C34" s="245" t="s">
        <v>181</v>
      </c>
      <c r="D34" s="240">
        <v>17013</v>
      </c>
      <c r="E34" s="240">
        <v>13549</v>
      </c>
      <c r="F34" s="241">
        <f t="shared" si="1"/>
        <v>0.25566462469554951</v>
      </c>
    </row>
    <row r="35" spans="2:6" ht="15.75" thickBot="1" x14ac:dyDescent="0.3">
      <c r="B35" s="422"/>
      <c r="C35" s="246" t="s">
        <v>182</v>
      </c>
      <c r="D35" s="243">
        <v>3065</v>
      </c>
      <c r="E35" s="243">
        <v>1360</v>
      </c>
      <c r="F35" s="244">
        <f t="shared" si="1"/>
        <v>1.2536764705882353</v>
      </c>
    </row>
    <row r="36" spans="2:6" x14ac:dyDescent="0.25">
      <c r="B36" s="423" t="s">
        <v>273</v>
      </c>
      <c r="C36" s="247" t="s">
        <v>181</v>
      </c>
      <c r="D36" s="240">
        <v>35025</v>
      </c>
      <c r="E36" s="240">
        <v>26177</v>
      </c>
      <c r="F36" s="241">
        <f>(D36-E36)/E36</f>
        <v>0.3380066470565764</v>
      </c>
    </row>
    <row r="37" spans="2:6" ht="15.75" thickBot="1" x14ac:dyDescent="0.3">
      <c r="B37" s="424"/>
      <c r="C37" s="248" t="s">
        <v>182</v>
      </c>
      <c r="D37" s="243">
        <v>13556</v>
      </c>
      <c r="E37" s="243">
        <v>11859</v>
      </c>
      <c r="F37" s="244">
        <f>(D37-E37)/E37</f>
        <v>0.14309806897714816</v>
      </c>
    </row>
    <row r="38" spans="2:6" x14ac:dyDescent="0.25">
      <c r="B38" s="430" t="s">
        <v>257</v>
      </c>
      <c r="C38" s="249" t="s">
        <v>181</v>
      </c>
      <c r="D38" s="249"/>
      <c r="E38" s="249"/>
      <c r="F38" s="250">
        <f>AVERAGE(F32,F34,F36)</f>
        <v>0.26221151948847088</v>
      </c>
    </row>
    <row r="39" spans="2:6" ht="15.75" thickBot="1" x14ac:dyDescent="0.3">
      <c r="B39" s="431"/>
      <c r="C39" s="251" t="s">
        <v>182</v>
      </c>
      <c r="D39" s="251"/>
      <c r="E39" s="251"/>
      <c r="F39" s="252">
        <f>AVERAGE(F33,F35,F37)</f>
        <v>0.60660208898164558</v>
      </c>
    </row>
    <row r="40" spans="2:6" ht="15.75" thickBot="1" x14ac:dyDescent="0.3">
      <c r="B40" s="229"/>
      <c r="D40" s="229"/>
      <c r="E40" s="229"/>
      <c r="F40" s="229"/>
    </row>
    <row r="41" spans="2:6" x14ac:dyDescent="0.25">
      <c r="B41" s="432" t="s">
        <v>269</v>
      </c>
      <c r="C41" s="433"/>
      <c r="D41" s="433" t="s">
        <v>231</v>
      </c>
      <c r="E41" s="433"/>
      <c r="F41" s="436"/>
    </row>
    <row r="42" spans="2:6" ht="15.75" thickBot="1" x14ac:dyDescent="0.3">
      <c r="B42" s="434"/>
      <c r="C42" s="435"/>
      <c r="D42" s="237" t="s">
        <v>255</v>
      </c>
      <c r="E42" s="237" t="s">
        <v>228</v>
      </c>
      <c r="F42" s="238" t="s">
        <v>256</v>
      </c>
    </row>
    <row r="43" spans="2:6" x14ac:dyDescent="0.25">
      <c r="B43" s="419" t="s">
        <v>272</v>
      </c>
      <c r="C43" s="239" t="s">
        <v>181</v>
      </c>
      <c r="D43" s="240">
        <f>D32-H57</f>
        <v>11817</v>
      </c>
      <c r="E43" s="240">
        <f>E32-H62</f>
        <v>12282</v>
      </c>
      <c r="F43" s="241">
        <f t="shared" ref="F43:F46" si="2">(D43-E43)/E43</f>
        <v>-3.7860283341475329E-2</v>
      </c>
    </row>
    <row r="44" spans="2:6" ht="15.75" thickBot="1" x14ac:dyDescent="0.3">
      <c r="B44" s="420"/>
      <c r="C44" s="242" t="s">
        <v>182</v>
      </c>
      <c r="D44" s="243">
        <f>D33-I57</f>
        <v>2422</v>
      </c>
      <c r="E44" s="243">
        <f>E33-I62</f>
        <v>1590</v>
      </c>
      <c r="F44" s="244">
        <f t="shared" si="2"/>
        <v>0.52327044025157232</v>
      </c>
    </row>
    <row r="45" spans="2:6" x14ac:dyDescent="0.25">
      <c r="B45" s="421" t="s">
        <v>271</v>
      </c>
      <c r="C45" s="245" t="s">
        <v>181</v>
      </c>
      <c r="D45" s="240">
        <f>D34-J57</f>
        <v>12453</v>
      </c>
      <c r="E45" s="240">
        <f>E34-J62</f>
        <v>12087</v>
      </c>
      <c r="F45" s="241">
        <f t="shared" si="2"/>
        <v>3.0280466617026557E-2</v>
      </c>
    </row>
    <row r="46" spans="2:6" ht="15.75" thickBot="1" x14ac:dyDescent="0.3">
      <c r="B46" s="422"/>
      <c r="C46" s="246" t="s">
        <v>182</v>
      </c>
      <c r="D46" s="243">
        <f>D35-K57</f>
        <v>3065</v>
      </c>
      <c r="E46" s="243">
        <f>E35-K62</f>
        <v>1352</v>
      </c>
      <c r="F46" s="244">
        <f t="shared" si="2"/>
        <v>1.2670118343195267</v>
      </c>
    </row>
    <row r="47" spans="2:6" x14ac:dyDescent="0.25">
      <c r="B47" s="423" t="s">
        <v>273</v>
      </c>
      <c r="C47" s="247" t="s">
        <v>181</v>
      </c>
      <c r="D47" s="240">
        <f>D36-L57</f>
        <v>27841</v>
      </c>
      <c r="E47" s="240">
        <f>E36-L62</f>
        <v>24584</v>
      </c>
      <c r="F47" s="241">
        <f>(D47-E47)/E47</f>
        <v>0.13248454279205987</v>
      </c>
    </row>
    <row r="48" spans="2:6" ht="15.75" thickBot="1" x14ac:dyDescent="0.3">
      <c r="B48" s="424"/>
      <c r="C48" s="248" t="s">
        <v>182</v>
      </c>
      <c r="D48" s="243">
        <f>D37-M57</f>
        <v>13556</v>
      </c>
      <c r="E48" s="243">
        <f>E37-M62</f>
        <v>11747</v>
      </c>
      <c r="F48" s="244">
        <f>(D48-E48)/E48</f>
        <v>0.15399676513152294</v>
      </c>
    </row>
    <row r="49" spans="2:13" x14ac:dyDescent="0.25">
      <c r="B49" s="425" t="s">
        <v>257</v>
      </c>
      <c r="C49" s="253" t="s">
        <v>181</v>
      </c>
      <c r="D49" s="253"/>
      <c r="E49" s="253"/>
      <c r="F49" s="254">
        <f>AVERAGE(F43,F45,F47)</f>
        <v>4.1634908689203699E-2</v>
      </c>
    </row>
    <row r="50" spans="2:13" ht="15.75" thickBot="1" x14ac:dyDescent="0.3">
      <c r="B50" s="426"/>
      <c r="C50" s="255" t="s">
        <v>182</v>
      </c>
      <c r="D50" s="255"/>
      <c r="E50" s="255"/>
      <c r="F50" s="256">
        <f>AVERAGE(F44,F46,F48)</f>
        <v>0.64809301323420732</v>
      </c>
    </row>
    <row r="52" spans="2:13" ht="15.75" thickBot="1" x14ac:dyDescent="0.3"/>
    <row r="53" spans="2:13" x14ac:dyDescent="0.25">
      <c r="G53" s="280" t="s">
        <v>260</v>
      </c>
      <c r="H53" s="428" t="s">
        <v>146</v>
      </c>
      <c r="I53" s="429"/>
      <c r="J53" s="428" t="s">
        <v>150</v>
      </c>
      <c r="K53" s="429"/>
      <c r="L53" s="428" t="s">
        <v>151</v>
      </c>
      <c r="M53" s="429"/>
    </row>
    <row r="54" spans="2:13" x14ac:dyDescent="0.25">
      <c r="G54" s="258" t="s">
        <v>261</v>
      </c>
      <c r="H54" s="259" t="s">
        <v>181</v>
      </c>
      <c r="I54" s="260" t="s">
        <v>182</v>
      </c>
      <c r="J54" s="259" t="s">
        <v>181</v>
      </c>
      <c r="K54" s="260" t="s">
        <v>182</v>
      </c>
      <c r="L54" s="259" t="s">
        <v>181</v>
      </c>
      <c r="M54" s="260" t="s">
        <v>182</v>
      </c>
    </row>
    <row r="55" spans="2:13" x14ac:dyDescent="0.25">
      <c r="B55" s="427" t="s">
        <v>269</v>
      </c>
      <c r="C55" s="427"/>
      <c r="D55" s="427"/>
      <c r="E55" s="427"/>
      <c r="G55" s="261" t="s">
        <v>246</v>
      </c>
      <c r="H55" s="262">
        <v>3008</v>
      </c>
      <c r="I55" s="263">
        <v>0</v>
      </c>
      <c r="J55" s="262">
        <v>3008</v>
      </c>
      <c r="K55" s="263">
        <v>0</v>
      </c>
      <c r="L55" s="262">
        <v>3084</v>
      </c>
      <c r="M55" s="263">
        <v>0</v>
      </c>
    </row>
    <row r="56" spans="2:13" x14ac:dyDescent="0.25">
      <c r="B56" s="285"/>
      <c r="C56" s="285"/>
      <c r="D56" s="284" t="s">
        <v>258</v>
      </c>
      <c r="E56" s="284" t="s">
        <v>259</v>
      </c>
      <c r="G56" s="261" t="s">
        <v>248</v>
      </c>
      <c r="H56" s="262">
        <v>1552</v>
      </c>
      <c r="I56" s="263">
        <v>0</v>
      </c>
      <c r="J56" s="262">
        <v>1552</v>
      </c>
      <c r="K56" s="263">
        <v>0</v>
      </c>
      <c r="L56" s="262">
        <v>4100</v>
      </c>
      <c r="M56" s="263">
        <v>0</v>
      </c>
    </row>
    <row r="57" spans="2:13" x14ac:dyDescent="0.25">
      <c r="B57" s="416" t="s">
        <v>272</v>
      </c>
      <c r="C57" s="286" t="s">
        <v>255</v>
      </c>
      <c r="D57" s="287">
        <v>16377</v>
      </c>
      <c r="E57" s="287">
        <v>11817</v>
      </c>
      <c r="G57" s="264" t="s">
        <v>187</v>
      </c>
      <c r="H57" s="265">
        <f t="shared" ref="H57:M57" si="3">SUM(H55:H56)</f>
        <v>4560</v>
      </c>
      <c r="I57" s="266">
        <f t="shared" si="3"/>
        <v>0</v>
      </c>
      <c r="J57" s="265">
        <f t="shared" si="3"/>
        <v>4560</v>
      </c>
      <c r="K57" s="266">
        <f t="shared" si="3"/>
        <v>0</v>
      </c>
      <c r="L57" s="265">
        <f t="shared" si="3"/>
        <v>7184</v>
      </c>
      <c r="M57" s="266">
        <f t="shared" si="3"/>
        <v>0</v>
      </c>
    </row>
    <row r="58" spans="2:13" x14ac:dyDescent="0.25">
      <c r="B58" s="416"/>
      <c r="C58" s="286" t="s">
        <v>228</v>
      </c>
      <c r="D58" s="287">
        <v>13728</v>
      </c>
      <c r="E58" s="287">
        <v>12282</v>
      </c>
      <c r="G58" s="258" t="s">
        <v>262</v>
      </c>
      <c r="H58" s="259" t="s">
        <v>181</v>
      </c>
      <c r="I58" s="260" t="s">
        <v>182</v>
      </c>
      <c r="J58" s="259" t="s">
        <v>181</v>
      </c>
      <c r="K58" s="260" t="s">
        <v>182</v>
      </c>
      <c r="L58" s="259" t="s">
        <v>181</v>
      </c>
      <c r="M58" s="260" t="s">
        <v>182</v>
      </c>
    </row>
    <row r="59" spans="2:13" x14ac:dyDescent="0.25">
      <c r="B59" s="417" t="s">
        <v>271</v>
      </c>
      <c r="C59" s="286" t="s">
        <v>255</v>
      </c>
      <c r="D59" s="287">
        <v>17013</v>
      </c>
      <c r="E59" s="287">
        <v>12453</v>
      </c>
      <c r="G59" s="261" t="s">
        <v>250</v>
      </c>
      <c r="H59" s="262">
        <v>1054</v>
      </c>
      <c r="I59" s="263">
        <v>112</v>
      </c>
      <c r="J59" s="262">
        <v>1152</v>
      </c>
      <c r="K59" s="263">
        <v>8</v>
      </c>
      <c r="L59" s="262">
        <v>1141</v>
      </c>
      <c r="M59" s="263">
        <v>112</v>
      </c>
    </row>
    <row r="60" spans="2:13" x14ac:dyDescent="0.25">
      <c r="B60" s="417"/>
      <c r="C60" s="286" t="s">
        <v>228</v>
      </c>
      <c r="D60" s="287">
        <v>13549</v>
      </c>
      <c r="E60" s="287">
        <v>12087</v>
      </c>
      <c r="G60" s="261" t="s">
        <v>251</v>
      </c>
      <c r="H60" s="262">
        <v>392</v>
      </c>
      <c r="I60" s="263">
        <v>0</v>
      </c>
      <c r="J60" s="262">
        <v>310</v>
      </c>
      <c r="K60" s="263">
        <v>0</v>
      </c>
      <c r="L60" s="262">
        <v>284</v>
      </c>
      <c r="M60" s="263">
        <v>0</v>
      </c>
    </row>
    <row r="61" spans="2:13" x14ac:dyDescent="0.25">
      <c r="B61" s="418" t="s">
        <v>273</v>
      </c>
      <c r="C61" s="286" t="s">
        <v>255</v>
      </c>
      <c r="D61" s="287">
        <v>35802</v>
      </c>
      <c r="E61" s="287">
        <v>28618</v>
      </c>
      <c r="G61" s="261" t="s">
        <v>252</v>
      </c>
      <c r="H61" s="262">
        <v>0</v>
      </c>
      <c r="I61" s="263">
        <v>0</v>
      </c>
      <c r="J61" s="262">
        <v>0</v>
      </c>
      <c r="K61" s="263">
        <v>0</v>
      </c>
      <c r="L61" s="262">
        <v>168</v>
      </c>
      <c r="M61" s="263">
        <v>0</v>
      </c>
    </row>
    <row r="62" spans="2:13" ht="15.75" thickBot="1" x14ac:dyDescent="0.3">
      <c r="B62" s="418"/>
      <c r="C62" s="286" t="s">
        <v>228</v>
      </c>
      <c r="D62" s="287">
        <v>28363</v>
      </c>
      <c r="E62" s="287">
        <v>26770</v>
      </c>
      <c r="G62" s="264" t="s">
        <v>187</v>
      </c>
      <c r="H62" s="267">
        <f t="shared" ref="H62:M62" si="4">SUM(H59:H61)</f>
        <v>1446</v>
      </c>
      <c r="I62" s="268">
        <f t="shared" si="4"/>
        <v>112</v>
      </c>
      <c r="J62" s="267">
        <f t="shared" si="4"/>
        <v>1462</v>
      </c>
      <c r="K62" s="268">
        <f t="shared" si="4"/>
        <v>8</v>
      </c>
      <c r="L62" s="267">
        <f t="shared" si="4"/>
        <v>1593</v>
      </c>
      <c r="M62" s="268">
        <f t="shared" si="4"/>
        <v>112</v>
      </c>
    </row>
    <row r="63" spans="2:13" ht="15.75" thickBot="1" x14ac:dyDescent="0.3">
      <c r="G63" s="264" t="s">
        <v>279</v>
      </c>
      <c r="H63" s="131">
        <f t="shared" ref="H63:M63" si="5">H57-H62</f>
        <v>3114</v>
      </c>
      <c r="I63" s="131">
        <f t="shared" si="5"/>
        <v>-112</v>
      </c>
      <c r="J63" s="131">
        <f t="shared" si="5"/>
        <v>3098</v>
      </c>
      <c r="K63" s="131">
        <f t="shared" si="5"/>
        <v>-8</v>
      </c>
      <c r="L63" s="131">
        <f t="shared" si="5"/>
        <v>5591</v>
      </c>
      <c r="M63" s="131">
        <f t="shared" si="5"/>
        <v>-112</v>
      </c>
    </row>
    <row r="64" spans="2:13" x14ac:dyDescent="0.25">
      <c r="G64" s="264" t="s">
        <v>279</v>
      </c>
      <c r="H64" s="150">
        <f t="shared" ref="H64:M64" si="6">H57/H62</f>
        <v>3.1535269709543567</v>
      </c>
      <c r="I64" s="150">
        <f t="shared" si="6"/>
        <v>0</v>
      </c>
      <c r="J64" s="150">
        <f t="shared" si="6"/>
        <v>3.1190150478796168</v>
      </c>
      <c r="K64" s="150">
        <f t="shared" si="6"/>
        <v>0</v>
      </c>
      <c r="L64" s="150">
        <f t="shared" si="6"/>
        <v>4.5097300690521029</v>
      </c>
      <c r="M64" s="150">
        <f t="shared" si="6"/>
        <v>0</v>
      </c>
    </row>
  </sheetData>
  <mergeCells count="29">
    <mergeCell ref="B1:G1"/>
    <mergeCell ref="B28:G28"/>
    <mergeCell ref="B30:C31"/>
    <mergeCell ref="D30:F30"/>
    <mergeCell ref="B32:B33"/>
    <mergeCell ref="B16:C16"/>
    <mergeCell ref="B17:B19"/>
    <mergeCell ref="B20:B22"/>
    <mergeCell ref="B23:B25"/>
    <mergeCell ref="B3:C3"/>
    <mergeCell ref="B4:B6"/>
    <mergeCell ref="B7:B9"/>
    <mergeCell ref="B10:B12"/>
    <mergeCell ref="H53:I53"/>
    <mergeCell ref="J53:K53"/>
    <mergeCell ref="L53:M53"/>
    <mergeCell ref="B34:B35"/>
    <mergeCell ref="B36:B37"/>
    <mergeCell ref="B38:B39"/>
    <mergeCell ref="B41:C42"/>
    <mergeCell ref="D41:F41"/>
    <mergeCell ref="B57:B58"/>
    <mergeCell ref="B59:B60"/>
    <mergeCell ref="B61:B62"/>
    <mergeCell ref="B43:B44"/>
    <mergeCell ref="B45:B46"/>
    <mergeCell ref="B47:B48"/>
    <mergeCell ref="B49:B50"/>
    <mergeCell ref="B55:E55"/>
  </mergeCells>
  <conditionalFormatting sqref="F17:F25">
    <cfRule type="cellIs" dxfId="83" priority="15" operator="lessThan">
      <formula>0</formula>
    </cfRule>
    <cfRule type="cellIs" dxfId="82" priority="16" operator="greaterThan">
      <formula>0</formula>
    </cfRule>
  </conditionalFormatting>
  <conditionalFormatting sqref="F4:G12">
    <cfRule type="cellIs" dxfId="81" priority="23" operator="lessThan">
      <formula>0</formula>
    </cfRule>
    <cfRule type="cellIs" dxfId="80" priority="24" operator="greaterThan">
      <formula>0</formula>
    </cfRule>
  </conditionalFormatting>
  <conditionalFormatting sqref="H63:M63">
    <cfRule type="cellIs" dxfId="79" priority="11" stopIfTrue="1" operator="lessThan">
      <formula>0</formula>
    </cfRule>
    <cfRule type="cellIs" dxfId="78" priority="12" stopIfTrue="1" operator="greaterThan">
      <formula>0</formula>
    </cfRule>
  </conditionalFormatting>
  <conditionalFormatting sqref="H64:M64">
    <cfRule type="cellIs" dxfId="77" priority="1" operator="lessThan">
      <formula>0</formula>
    </cfRule>
    <cfRule type="cellIs" dxfId="76" priority="2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E59A-9DE6-4BD2-A99E-71A0A56DC4B2}">
  <dimension ref="A1:J50"/>
  <sheetViews>
    <sheetView topLeftCell="C1" zoomScaleNormal="100" workbookViewId="0">
      <selection activeCell="H14" sqref="H14"/>
    </sheetView>
  </sheetViews>
  <sheetFormatPr defaultRowHeight="15" x14ac:dyDescent="0.25"/>
  <cols>
    <col min="1" max="1" width="27.85546875" customWidth="1"/>
    <col min="2" max="2" width="40.85546875" customWidth="1"/>
    <col min="3" max="4" width="33.42578125" customWidth="1"/>
    <col min="5" max="5" width="38.28515625" customWidth="1"/>
    <col min="6" max="6" width="29.140625" customWidth="1"/>
    <col min="7" max="7" width="38.28515625" customWidth="1"/>
    <col min="8" max="8" width="29" customWidth="1"/>
    <col min="9" max="9" width="28.7109375" customWidth="1"/>
    <col min="10" max="10" width="18.28515625" customWidth="1"/>
  </cols>
  <sheetData>
    <row r="1" spans="1:10" ht="18.75" x14ac:dyDescent="0.3">
      <c r="A1" s="364" t="s">
        <v>137</v>
      </c>
      <c r="B1" s="365"/>
      <c r="C1" s="366" t="s">
        <v>138</v>
      </c>
      <c r="D1" s="456"/>
      <c r="E1" s="144"/>
      <c r="F1" s="361" t="s">
        <v>139</v>
      </c>
      <c r="G1" s="451"/>
      <c r="H1" s="361" t="s">
        <v>140</v>
      </c>
      <c r="I1" s="451"/>
    </row>
    <row r="2" spans="1:10" ht="15" customHeight="1" x14ac:dyDescent="0.3">
      <c r="A2" s="357"/>
      <c r="B2" s="359"/>
      <c r="C2" s="366" t="s">
        <v>141</v>
      </c>
      <c r="D2" s="366"/>
      <c r="E2" s="142" t="s">
        <v>142</v>
      </c>
      <c r="F2" s="361" t="s">
        <v>143</v>
      </c>
      <c r="G2" s="363"/>
      <c r="H2" s="143" t="s">
        <v>144</v>
      </c>
      <c r="I2" s="143" t="s">
        <v>145</v>
      </c>
    </row>
    <row r="3" spans="1:10" ht="16.5" customHeight="1" x14ac:dyDescent="0.3">
      <c r="A3" s="347" t="s">
        <v>146</v>
      </c>
      <c r="B3" s="348"/>
      <c r="C3" s="131" t="s">
        <v>147</v>
      </c>
      <c r="D3" s="134">
        <v>53418</v>
      </c>
      <c r="E3" s="134">
        <v>52854</v>
      </c>
      <c r="F3" s="131" t="s">
        <v>147</v>
      </c>
      <c r="G3" s="135">
        <v>51990</v>
      </c>
      <c r="H3" s="138">
        <f>((G3-E3)/E3)</f>
        <v>-1.6346917924849585E-2</v>
      </c>
      <c r="I3" s="138">
        <f t="shared" ref="I3:I11" si="0">((G3-D3)/D3)</f>
        <v>-2.6732562057733347E-2</v>
      </c>
    </row>
    <row r="4" spans="1:10" ht="16.5" customHeight="1" x14ac:dyDescent="0.3">
      <c r="A4" s="349"/>
      <c r="B4" s="350"/>
      <c r="C4" s="131" t="s">
        <v>148</v>
      </c>
      <c r="D4" s="135">
        <v>677</v>
      </c>
      <c r="E4" s="135">
        <v>665</v>
      </c>
      <c r="F4" s="131" t="s">
        <v>148</v>
      </c>
      <c r="G4" s="135">
        <v>665</v>
      </c>
      <c r="H4" s="138">
        <f t="shared" ref="H4:H11" si="1">((G4-E4)/E4)</f>
        <v>0</v>
      </c>
      <c r="I4" s="138">
        <f t="shared" si="0"/>
        <v>-1.7725258493353029E-2</v>
      </c>
    </row>
    <row r="5" spans="1:10" ht="16.5" customHeight="1" x14ac:dyDescent="0.3">
      <c r="A5" s="349"/>
      <c r="B5" s="350"/>
      <c r="C5" s="131" t="s">
        <v>149</v>
      </c>
      <c r="D5" s="134">
        <v>43733</v>
      </c>
      <c r="E5" s="136">
        <v>43705</v>
      </c>
      <c r="F5" s="131" t="s">
        <v>149</v>
      </c>
      <c r="G5" s="136">
        <v>36657</v>
      </c>
      <c r="H5" s="138">
        <f t="shared" si="1"/>
        <v>-0.16126301338519619</v>
      </c>
      <c r="I5" s="139">
        <f t="shared" si="0"/>
        <v>-0.16180001371961678</v>
      </c>
    </row>
    <row r="6" spans="1:10" ht="16.5" customHeight="1" x14ac:dyDescent="0.3">
      <c r="A6" s="343" t="s">
        <v>150</v>
      </c>
      <c r="B6" s="344"/>
      <c r="C6" s="131" t="s">
        <v>147</v>
      </c>
      <c r="D6" s="134">
        <v>32946</v>
      </c>
      <c r="E6" s="134">
        <v>33006</v>
      </c>
      <c r="F6" s="131" t="s">
        <v>147</v>
      </c>
      <c r="G6" s="134">
        <v>32970</v>
      </c>
      <c r="H6" s="138">
        <f t="shared" si="1"/>
        <v>-1.0907107798582077E-3</v>
      </c>
      <c r="I6" s="138">
        <f t="shared" si="0"/>
        <v>7.2846476051720993E-4</v>
      </c>
    </row>
    <row r="7" spans="1:10" ht="16.5" customHeight="1" x14ac:dyDescent="0.3">
      <c r="A7" s="353"/>
      <c r="B7" s="354"/>
      <c r="C7" s="131" t="s">
        <v>148</v>
      </c>
      <c r="D7" s="135">
        <v>314</v>
      </c>
      <c r="E7" s="135">
        <v>314</v>
      </c>
      <c r="F7" s="131" t="s">
        <v>148</v>
      </c>
      <c r="G7" s="135">
        <v>314</v>
      </c>
      <c r="H7" s="138">
        <f t="shared" si="1"/>
        <v>0</v>
      </c>
      <c r="I7" s="138">
        <f t="shared" si="0"/>
        <v>0</v>
      </c>
    </row>
    <row r="8" spans="1:10" ht="16.5" customHeight="1" x14ac:dyDescent="0.3">
      <c r="A8" s="353"/>
      <c r="B8" s="354"/>
      <c r="C8" s="131" t="s">
        <v>149</v>
      </c>
      <c r="D8" s="134">
        <v>18830</v>
      </c>
      <c r="E8" s="134">
        <v>18830</v>
      </c>
      <c r="F8" s="131" t="s">
        <v>149</v>
      </c>
      <c r="G8" s="134">
        <v>17422</v>
      </c>
      <c r="H8" s="138">
        <f t="shared" si="1"/>
        <v>-7.4774296335634621E-2</v>
      </c>
      <c r="I8" s="139">
        <f t="shared" si="0"/>
        <v>-7.4774296335634621E-2</v>
      </c>
    </row>
    <row r="9" spans="1:10" ht="16.5" customHeight="1" x14ac:dyDescent="0.3">
      <c r="A9" s="457" t="s">
        <v>151</v>
      </c>
      <c r="B9" s="458"/>
      <c r="C9" s="131" t="s">
        <v>147</v>
      </c>
      <c r="D9" s="134">
        <v>69806</v>
      </c>
      <c r="E9" s="134">
        <v>79734</v>
      </c>
      <c r="F9" s="131" t="s">
        <v>147</v>
      </c>
      <c r="G9" s="134">
        <v>69802</v>
      </c>
      <c r="H9" s="138">
        <f t="shared" si="1"/>
        <v>-0.12456417588481701</v>
      </c>
      <c r="I9" s="138">
        <f t="shared" si="0"/>
        <v>-5.7301664613357017E-5</v>
      </c>
    </row>
    <row r="10" spans="1:10" ht="16.5" customHeight="1" x14ac:dyDescent="0.3">
      <c r="A10" s="459"/>
      <c r="B10" s="460"/>
      <c r="C10" s="131" t="s">
        <v>148</v>
      </c>
      <c r="D10" s="135">
        <v>674</v>
      </c>
      <c r="E10" s="135">
        <v>674</v>
      </c>
      <c r="F10" s="131" t="s">
        <v>148</v>
      </c>
      <c r="G10" s="135">
        <v>674</v>
      </c>
      <c r="H10" s="138">
        <f t="shared" si="1"/>
        <v>0</v>
      </c>
      <c r="I10" s="138">
        <f t="shared" si="0"/>
        <v>0</v>
      </c>
    </row>
    <row r="11" spans="1:10" ht="16.5" customHeight="1" x14ac:dyDescent="0.3">
      <c r="A11" s="459"/>
      <c r="B11" s="460"/>
      <c r="C11" s="131" t="s">
        <v>149</v>
      </c>
      <c r="D11" s="134">
        <v>108109</v>
      </c>
      <c r="E11" s="134">
        <v>108109</v>
      </c>
      <c r="F11" s="131" t="s">
        <v>149</v>
      </c>
      <c r="G11" s="234">
        <v>69197</v>
      </c>
      <c r="H11" s="138">
        <f t="shared" si="1"/>
        <v>-0.35993303055249792</v>
      </c>
      <c r="I11" s="139">
        <f t="shared" si="0"/>
        <v>-0.35993303055249792</v>
      </c>
    </row>
    <row r="12" spans="1:10" ht="18.75" customHeight="1" x14ac:dyDescent="0.35">
      <c r="A12" s="461" t="s">
        <v>137</v>
      </c>
      <c r="B12" s="454" t="s">
        <v>152</v>
      </c>
      <c r="C12" s="453" t="s">
        <v>153</v>
      </c>
      <c r="D12" s="453"/>
      <c r="E12" s="454" t="s">
        <v>152</v>
      </c>
      <c r="F12" s="366" t="s">
        <v>154</v>
      </c>
      <c r="G12" s="366"/>
      <c r="H12" s="450" t="s">
        <v>155</v>
      </c>
      <c r="I12" s="450"/>
      <c r="J12" s="450"/>
    </row>
    <row r="13" spans="1:10" ht="18.75" customHeight="1" x14ac:dyDescent="0.3">
      <c r="A13" s="462"/>
      <c r="B13" s="455"/>
      <c r="C13" s="130" t="s">
        <v>156</v>
      </c>
      <c r="D13" s="130" t="s">
        <v>157</v>
      </c>
      <c r="E13" s="455"/>
      <c r="F13" s="130" t="s">
        <v>156</v>
      </c>
      <c r="G13" s="130" t="s">
        <v>157</v>
      </c>
      <c r="H13" s="130" t="s">
        <v>158</v>
      </c>
      <c r="I13" s="130" t="s">
        <v>159</v>
      </c>
      <c r="J13" s="130" t="s">
        <v>160</v>
      </c>
    </row>
    <row r="14" spans="1:10" ht="18.75" customHeight="1" x14ac:dyDescent="0.25">
      <c r="A14" s="452" t="s">
        <v>146</v>
      </c>
      <c r="B14" s="131" t="s">
        <v>161</v>
      </c>
      <c r="C14" s="131">
        <v>124729</v>
      </c>
      <c r="D14" s="131">
        <f t="shared" ref="D14:D22" si="2">C14/200000</f>
        <v>0.623645</v>
      </c>
      <c r="E14" s="131" t="s">
        <v>161</v>
      </c>
      <c r="F14" s="131">
        <v>103067</v>
      </c>
      <c r="G14" s="131">
        <f>F14/200000</f>
        <v>0.51533499999999999</v>
      </c>
      <c r="H14" s="131">
        <f>F14-C14</f>
        <v>-21662</v>
      </c>
      <c r="I14" s="131">
        <f>H14/200000</f>
        <v>-0.10831</v>
      </c>
      <c r="J14" s="138">
        <f>I14/D14</f>
        <v>-0.17367252202775618</v>
      </c>
    </row>
    <row r="15" spans="1:10" x14ac:dyDescent="0.25">
      <c r="A15" s="452"/>
      <c r="B15" s="131" t="s">
        <v>162</v>
      </c>
      <c r="C15" s="131">
        <v>39011</v>
      </c>
      <c r="D15" s="131">
        <f t="shared" si="2"/>
        <v>0.19505500000000001</v>
      </c>
      <c r="E15" s="131" t="s">
        <v>162</v>
      </c>
      <c r="F15" s="131">
        <v>26698</v>
      </c>
      <c r="G15" s="131">
        <f t="shared" ref="G15:I36" si="3">F15/200000</f>
        <v>0.13349</v>
      </c>
      <c r="H15" s="131">
        <f t="shared" ref="H15:H35" si="4">F15-C15</f>
        <v>-12313</v>
      </c>
      <c r="I15" s="131">
        <f t="shared" ref="I15:I35" si="5">H15/200000</f>
        <v>-6.1565000000000002E-2</v>
      </c>
      <c r="J15" s="138">
        <f t="shared" ref="J15:J21" si="6">I15/D15</f>
        <v>-0.31562892517495067</v>
      </c>
    </row>
    <row r="16" spans="1:10" x14ac:dyDescent="0.25">
      <c r="A16" s="452"/>
      <c r="B16" s="131" t="s">
        <v>163</v>
      </c>
      <c r="C16" s="131">
        <v>408</v>
      </c>
      <c r="D16" s="131">
        <f t="shared" si="2"/>
        <v>2.0400000000000001E-3</v>
      </c>
      <c r="E16" s="131" t="s">
        <v>163</v>
      </c>
      <c r="F16" s="131">
        <v>401</v>
      </c>
      <c r="G16" s="131">
        <f t="shared" si="3"/>
        <v>2.0049999999999998E-3</v>
      </c>
      <c r="H16" s="131">
        <f t="shared" si="4"/>
        <v>-7</v>
      </c>
      <c r="I16" s="131">
        <f t="shared" si="5"/>
        <v>-3.4999999999999997E-5</v>
      </c>
      <c r="J16" s="138">
        <f t="shared" si="6"/>
        <v>-1.7156862745098037E-2</v>
      </c>
    </row>
    <row r="17" spans="1:10" x14ac:dyDescent="0.25">
      <c r="A17" s="452"/>
      <c r="B17" s="131" t="s">
        <v>164</v>
      </c>
      <c r="C17" s="131">
        <v>4322</v>
      </c>
      <c r="D17" s="131">
        <f t="shared" si="2"/>
        <v>2.1610000000000001E-2</v>
      </c>
      <c r="E17" s="131" t="s">
        <v>164</v>
      </c>
      <c r="F17" s="131">
        <v>4353</v>
      </c>
      <c r="G17" s="131">
        <f t="shared" si="3"/>
        <v>2.1765E-2</v>
      </c>
      <c r="H17" s="131">
        <f t="shared" si="4"/>
        <v>31</v>
      </c>
      <c r="I17" s="131">
        <f t="shared" si="5"/>
        <v>1.55E-4</v>
      </c>
      <c r="J17" s="138">
        <f t="shared" si="6"/>
        <v>7.1726052753354926E-3</v>
      </c>
    </row>
    <row r="18" spans="1:10" x14ac:dyDescent="0.25">
      <c r="A18" s="452"/>
      <c r="B18" s="131" t="s">
        <v>165</v>
      </c>
      <c r="C18" s="131">
        <v>971</v>
      </c>
      <c r="D18" s="131">
        <f t="shared" si="2"/>
        <v>4.8549999999999999E-3</v>
      </c>
      <c r="E18" s="131" t="s">
        <v>165</v>
      </c>
      <c r="F18" s="131">
        <v>975</v>
      </c>
      <c r="G18" s="131">
        <f t="shared" si="3"/>
        <v>4.875E-3</v>
      </c>
      <c r="H18" s="131">
        <f t="shared" si="4"/>
        <v>4</v>
      </c>
      <c r="I18" s="131">
        <f t="shared" si="5"/>
        <v>2.0000000000000002E-5</v>
      </c>
      <c r="J18" s="138">
        <f t="shared" si="6"/>
        <v>4.1194644696189503E-3</v>
      </c>
    </row>
    <row r="19" spans="1:10" x14ac:dyDescent="0.25">
      <c r="A19" s="452"/>
      <c r="B19" s="131" t="s">
        <v>166</v>
      </c>
      <c r="C19" s="131">
        <v>2383</v>
      </c>
      <c r="D19" s="131">
        <f t="shared" si="2"/>
        <v>1.1915E-2</v>
      </c>
      <c r="E19" s="131" t="s">
        <v>166</v>
      </c>
      <c r="F19" s="131">
        <v>2383</v>
      </c>
      <c r="G19" s="131">
        <f t="shared" si="3"/>
        <v>1.1915E-2</v>
      </c>
      <c r="H19" s="131">
        <f t="shared" si="4"/>
        <v>0</v>
      </c>
      <c r="I19" s="131">
        <f t="shared" si="5"/>
        <v>0</v>
      </c>
      <c r="J19" s="138">
        <f t="shared" si="6"/>
        <v>0</v>
      </c>
    </row>
    <row r="20" spans="1:10" x14ac:dyDescent="0.25">
      <c r="A20" s="452"/>
      <c r="B20" s="131" t="s">
        <v>167</v>
      </c>
      <c r="C20" s="131">
        <v>2962</v>
      </c>
      <c r="D20" s="131">
        <f t="shared" si="2"/>
        <v>1.481E-2</v>
      </c>
      <c r="E20" s="131" t="s">
        <v>167</v>
      </c>
      <c r="F20" s="131">
        <v>2948</v>
      </c>
      <c r="G20" s="131">
        <f t="shared" si="3"/>
        <v>1.474E-2</v>
      </c>
      <c r="H20" s="131">
        <f t="shared" si="4"/>
        <v>-14</v>
      </c>
      <c r="I20" s="131">
        <f t="shared" si="5"/>
        <v>-6.9999999999999994E-5</v>
      </c>
      <c r="J20" s="138">
        <f t="shared" si="6"/>
        <v>-4.7265361242403775E-3</v>
      </c>
    </row>
    <row r="21" spans="1:10" x14ac:dyDescent="0.25">
      <c r="A21" s="452"/>
      <c r="B21" s="131" t="s">
        <v>168</v>
      </c>
      <c r="C21" s="131">
        <v>20891</v>
      </c>
      <c r="D21" s="131">
        <f t="shared" si="2"/>
        <v>0.10445500000000001</v>
      </c>
      <c r="E21" s="131" t="s">
        <v>168</v>
      </c>
      <c r="F21" s="131">
        <v>2422</v>
      </c>
      <c r="G21" s="131">
        <f t="shared" si="3"/>
        <v>1.2109999999999999E-2</v>
      </c>
      <c r="H21" s="131">
        <f t="shared" si="4"/>
        <v>-18469</v>
      </c>
      <c r="I21" s="131">
        <f t="shared" si="5"/>
        <v>-9.2344999999999997E-2</v>
      </c>
      <c r="J21" s="138">
        <f t="shared" si="6"/>
        <v>-0.88406490833373219</v>
      </c>
    </row>
    <row r="22" spans="1:10" x14ac:dyDescent="0.25">
      <c r="A22" s="452"/>
      <c r="B22" s="132" t="s">
        <v>169</v>
      </c>
      <c r="C22" s="132">
        <f>SUM(C14:C21)</f>
        <v>195677</v>
      </c>
      <c r="D22" s="133">
        <f t="shared" si="2"/>
        <v>0.97838499999999995</v>
      </c>
      <c r="E22" s="132" t="s">
        <v>169</v>
      </c>
      <c r="F22" s="132">
        <f>SUM(F14:F21)</f>
        <v>143247</v>
      </c>
      <c r="G22" s="140">
        <f t="shared" si="3"/>
        <v>0.71623499999999996</v>
      </c>
      <c r="H22" s="140">
        <f>SUM(H14:H21)</f>
        <v>-52430</v>
      </c>
      <c r="I22" s="140">
        <f>SUM(I14:I21)</f>
        <v>-0.26214999999999999</v>
      </c>
      <c r="J22" s="141">
        <f>I22/D22</f>
        <v>-0.2679415567491325</v>
      </c>
    </row>
    <row r="23" spans="1:10" x14ac:dyDescent="0.25">
      <c r="A23" s="463" t="s">
        <v>170</v>
      </c>
      <c r="B23" s="131" t="s">
        <v>161</v>
      </c>
      <c r="C23" s="131">
        <v>62525</v>
      </c>
      <c r="D23" s="131">
        <f t="shared" ref="D23:D36" si="7">C23/200000</f>
        <v>0.31262499999999999</v>
      </c>
      <c r="E23" s="131" t="s">
        <v>161</v>
      </c>
      <c r="F23" s="131">
        <v>62515</v>
      </c>
      <c r="G23" s="131">
        <f t="shared" si="3"/>
        <v>0.31257499999999999</v>
      </c>
      <c r="H23" s="131">
        <f t="shared" si="4"/>
        <v>-10</v>
      </c>
      <c r="I23" s="131">
        <f t="shared" si="5"/>
        <v>-5.0000000000000002E-5</v>
      </c>
      <c r="J23" s="138">
        <f t="shared" ref="J23:J36" si="8">I23/D23</f>
        <v>-1.5993602558976412E-4</v>
      </c>
    </row>
    <row r="24" spans="1:10" x14ac:dyDescent="0.25">
      <c r="A24" s="463"/>
      <c r="B24" s="131" t="s">
        <v>171</v>
      </c>
      <c r="C24" s="131">
        <v>43838</v>
      </c>
      <c r="D24" s="131">
        <f t="shared" si="7"/>
        <v>0.21919</v>
      </c>
      <c r="E24" s="131" t="s">
        <v>171</v>
      </c>
      <c r="F24" s="131">
        <v>24618</v>
      </c>
      <c r="G24" s="131">
        <f t="shared" si="3"/>
        <v>0.12309</v>
      </c>
      <c r="H24" s="131">
        <f t="shared" si="4"/>
        <v>-19220</v>
      </c>
      <c r="I24" s="131">
        <f t="shared" si="5"/>
        <v>-9.6100000000000005E-2</v>
      </c>
      <c r="J24" s="138">
        <f t="shared" si="8"/>
        <v>-0.43843241023769336</v>
      </c>
    </row>
    <row r="25" spans="1:10" x14ac:dyDescent="0.25">
      <c r="A25" s="463"/>
      <c r="B25" s="131" t="s">
        <v>172</v>
      </c>
      <c r="C25" s="131">
        <v>4715</v>
      </c>
      <c r="D25" s="131">
        <f t="shared" si="7"/>
        <v>2.3574999999999999E-2</v>
      </c>
      <c r="E25" s="131" t="s">
        <v>172</v>
      </c>
      <c r="F25" s="131">
        <v>4633</v>
      </c>
      <c r="G25" s="131">
        <f t="shared" si="3"/>
        <v>2.3165000000000002E-2</v>
      </c>
      <c r="H25" s="131">
        <f t="shared" si="4"/>
        <v>-82</v>
      </c>
      <c r="I25" s="131">
        <f t="shared" si="5"/>
        <v>-4.0999999999999999E-4</v>
      </c>
      <c r="J25" s="138">
        <f t="shared" si="8"/>
        <v>-1.7391304347826087E-2</v>
      </c>
    </row>
    <row r="26" spans="1:10" x14ac:dyDescent="0.25">
      <c r="A26" s="463"/>
      <c r="B26" s="131" t="s">
        <v>173</v>
      </c>
      <c r="C26" s="131">
        <v>6245</v>
      </c>
      <c r="D26" s="131">
        <f t="shared" si="7"/>
        <v>3.1224999999999999E-2</v>
      </c>
      <c r="E26" s="131" t="s">
        <v>173</v>
      </c>
      <c r="F26" s="131">
        <v>6233</v>
      </c>
      <c r="G26" s="131">
        <f t="shared" si="3"/>
        <v>3.1165000000000002E-2</v>
      </c>
      <c r="H26" s="131">
        <f t="shared" si="4"/>
        <v>-12</v>
      </c>
      <c r="I26" s="131">
        <f t="shared" si="5"/>
        <v>-6.0000000000000002E-5</v>
      </c>
      <c r="J26" s="138">
        <f t="shared" si="8"/>
        <v>-1.9215372297838272E-3</v>
      </c>
    </row>
    <row r="27" spans="1:10" x14ac:dyDescent="0.25">
      <c r="A27" s="463"/>
      <c r="B27" s="131" t="s">
        <v>174</v>
      </c>
      <c r="C27" s="131">
        <v>3808</v>
      </c>
      <c r="D27" s="131">
        <f t="shared" si="7"/>
        <v>1.9040000000000001E-2</v>
      </c>
      <c r="E27" s="131" t="s">
        <v>174</v>
      </c>
      <c r="F27" s="131">
        <v>3798</v>
      </c>
      <c r="G27" s="131">
        <f t="shared" si="3"/>
        <v>1.899E-2</v>
      </c>
      <c r="H27" s="131">
        <f t="shared" si="4"/>
        <v>-10</v>
      </c>
      <c r="I27" s="131">
        <f t="shared" si="5"/>
        <v>-5.0000000000000002E-5</v>
      </c>
      <c r="J27" s="138">
        <f t="shared" si="8"/>
        <v>-2.626050420168067E-3</v>
      </c>
    </row>
    <row r="28" spans="1:10" x14ac:dyDescent="0.25">
      <c r="A28" s="463"/>
      <c r="B28" s="131" t="s">
        <v>175</v>
      </c>
      <c r="C28" s="131">
        <v>165</v>
      </c>
      <c r="D28" s="131">
        <f t="shared" si="7"/>
        <v>8.25E-4</v>
      </c>
      <c r="E28" s="131" t="s">
        <v>175</v>
      </c>
      <c r="F28" s="131">
        <v>160</v>
      </c>
      <c r="G28" s="131">
        <f t="shared" si="3"/>
        <v>8.0000000000000004E-4</v>
      </c>
      <c r="H28" s="131">
        <f t="shared" si="4"/>
        <v>-5</v>
      </c>
      <c r="I28" s="131">
        <f t="shared" si="5"/>
        <v>-2.5000000000000001E-5</v>
      </c>
      <c r="J28" s="138">
        <f t="shared" si="8"/>
        <v>-3.0303030303030304E-2</v>
      </c>
    </row>
    <row r="29" spans="1:10" x14ac:dyDescent="0.25">
      <c r="A29" s="463"/>
      <c r="B29" s="132" t="s">
        <v>169</v>
      </c>
      <c r="C29" s="132">
        <f>SUM(C23:C28)</f>
        <v>121296</v>
      </c>
      <c r="D29" s="133">
        <f t="shared" si="7"/>
        <v>0.60648000000000002</v>
      </c>
      <c r="E29" s="132" t="s">
        <v>169</v>
      </c>
      <c r="F29" s="132">
        <f>SUM(F23:F28)</f>
        <v>101957</v>
      </c>
      <c r="G29" s="133">
        <f t="shared" si="3"/>
        <v>0.50978500000000004</v>
      </c>
      <c r="H29" s="133">
        <f>SUM(H23:H28)</f>
        <v>-19339</v>
      </c>
      <c r="I29" s="133">
        <f>SUM(I23:I28)</f>
        <v>-9.6694999999999989E-2</v>
      </c>
      <c r="J29" s="141">
        <f t="shared" si="8"/>
        <v>-0.1594364199973618</v>
      </c>
    </row>
    <row r="30" spans="1:10" x14ac:dyDescent="0.25">
      <c r="A30" s="449" t="s">
        <v>151</v>
      </c>
      <c r="B30" s="131" t="s">
        <v>161</v>
      </c>
      <c r="C30" s="131">
        <v>369711</v>
      </c>
      <c r="D30" s="131">
        <f t="shared" si="7"/>
        <v>1.8485549999999999</v>
      </c>
      <c r="E30" s="131" t="s">
        <v>161</v>
      </c>
      <c r="F30" s="131">
        <v>262199</v>
      </c>
      <c r="G30" s="131">
        <f t="shared" si="3"/>
        <v>1.3109949999999999</v>
      </c>
      <c r="H30" s="131">
        <f t="shared" si="4"/>
        <v>-107512</v>
      </c>
      <c r="I30" s="131">
        <f t="shared" si="5"/>
        <v>-0.53756000000000004</v>
      </c>
      <c r="J30" s="138">
        <f t="shared" si="8"/>
        <v>-0.29080011143839379</v>
      </c>
    </row>
    <row r="31" spans="1:10" x14ac:dyDescent="0.25">
      <c r="A31" s="449"/>
      <c r="B31" s="131" t="s">
        <v>162</v>
      </c>
      <c r="C31" s="131">
        <v>112478</v>
      </c>
      <c r="D31" s="131">
        <f t="shared" si="7"/>
        <v>0.56238999999999995</v>
      </c>
      <c r="E31" s="131" t="s">
        <v>162</v>
      </c>
      <c r="F31" s="131">
        <v>112511</v>
      </c>
      <c r="G31" s="131">
        <f t="shared" si="3"/>
        <v>0.56255500000000003</v>
      </c>
      <c r="H31" s="131">
        <f t="shared" si="4"/>
        <v>33</v>
      </c>
      <c r="I31" s="131">
        <f t="shared" si="5"/>
        <v>1.65E-4</v>
      </c>
      <c r="J31" s="138">
        <f t="shared" si="8"/>
        <v>2.9339070751613653E-4</v>
      </c>
    </row>
    <row r="32" spans="1:10" x14ac:dyDescent="0.25">
      <c r="A32" s="449"/>
      <c r="B32" s="131" t="s">
        <v>176</v>
      </c>
      <c r="C32" s="131">
        <v>710</v>
      </c>
      <c r="D32" s="131">
        <f t="shared" si="7"/>
        <v>3.5500000000000002E-3</v>
      </c>
      <c r="E32" s="131" t="s">
        <v>176</v>
      </c>
      <c r="F32" s="131">
        <v>875</v>
      </c>
      <c r="G32" s="131">
        <f t="shared" si="3"/>
        <v>4.3750000000000004E-3</v>
      </c>
      <c r="H32" s="131">
        <f t="shared" si="4"/>
        <v>165</v>
      </c>
      <c r="I32" s="131">
        <f t="shared" si="5"/>
        <v>8.25E-4</v>
      </c>
      <c r="J32" s="138">
        <f t="shared" si="8"/>
        <v>0.23239436619718309</v>
      </c>
    </row>
    <row r="33" spans="1:10" x14ac:dyDescent="0.25">
      <c r="A33" s="449"/>
      <c r="B33" s="131" t="s">
        <v>167</v>
      </c>
      <c r="C33" s="131">
        <v>5997</v>
      </c>
      <c r="D33" s="131">
        <f t="shared" si="7"/>
        <v>2.9985000000000001E-2</v>
      </c>
      <c r="E33" s="131" t="s">
        <v>167</v>
      </c>
      <c r="F33" s="131">
        <v>5997</v>
      </c>
      <c r="G33" s="131">
        <f t="shared" si="3"/>
        <v>2.9985000000000001E-2</v>
      </c>
      <c r="H33" s="131">
        <f t="shared" si="4"/>
        <v>0</v>
      </c>
      <c r="I33" s="131">
        <f t="shared" si="5"/>
        <v>0</v>
      </c>
      <c r="J33" s="138">
        <f t="shared" si="8"/>
        <v>0</v>
      </c>
    </row>
    <row r="34" spans="1:10" x14ac:dyDescent="0.25">
      <c r="A34" s="449"/>
      <c r="B34" s="131" t="s">
        <v>168</v>
      </c>
      <c r="C34" s="131">
        <v>60685</v>
      </c>
      <c r="D34" s="131">
        <f t="shared" si="7"/>
        <v>0.303425</v>
      </c>
      <c r="E34" s="131" t="s">
        <v>168</v>
      </c>
      <c r="F34" s="131">
        <v>60949</v>
      </c>
      <c r="G34" s="131">
        <f t="shared" si="3"/>
        <v>0.30474499999999999</v>
      </c>
      <c r="H34" s="131">
        <f t="shared" si="4"/>
        <v>264</v>
      </c>
      <c r="I34" s="131">
        <f t="shared" si="5"/>
        <v>1.32E-3</v>
      </c>
      <c r="J34" s="138">
        <f t="shared" si="8"/>
        <v>4.3503336903682951E-3</v>
      </c>
    </row>
    <row r="35" spans="1:10" x14ac:dyDescent="0.25">
      <c r="A35" s="449"/>
      <c r="B35" s="131" t="s">
        <v>177</v>
      </c>
      <c r="C35" s="131">
        <v>5703</v>
      </c>
      <c r="D35" s="131">
        <f t="shared" si="7"/>
        <v>2.8514999999999999E-2</v>
      </c>
      <c r="E35" s="131" t="s">
        <v>177</v>
      </c>
      <c r="F35" s="131">
        <v>5703</v>
      </c>
      <c r="G35" s="131">
        <f t="shared" si="3"/>
        <v>2.8514999999999999E-2</v>
      </c>
      <c r="H35" s="131">
        <f t="shared" si="4"/>
        <v>0</v>
      </c>
      <c r="I35" s="131">
        <f t="shared" si="5"/>
        <v>0</v>
      </c>
      <c r="J35" s="138">
        <f t="shared" si="8"/>
        <v>0</v>
      </c>
    </row>
    <row r="36" spans="1:10" x14ac:dyDescent="0.25">
      <c r="A36" s="449"/>
      <c r="B36" s="132" t="s">
        <v>169</v>
      </c>
      <c r="C36" s="132">
        <f>SUM(C30:C35)</f>
        <v>555284</v>
      </c>
      <c r="D36" s="133">
        <f t="shared" si="7"/>
        <v>2.7764199999999999</v>
      </c>
      <c r="E36" s="132" t="s">
        <v>169</v>
      </c>
      <c r="F36" s="132">
        <f>SUM(F30:F35)</f>
        <v>448234</v>
      </c>
      <c r="G36" s="133">
        <f t="shared" si="3"/>
        <v>2.2411699999999999</v>
      </c>
      <c r="H36" s="132">
        <f>SUM(H30:H35)</f>
        <v>-107050</v>
      </c>
      <c r="I36" s="133">
        <f t="shared" si="3"/>
        <v>-0.53525</v>
      </c>
      <c r="J36" s="141">
        <f t="shared" si="8"/>
        <v>-0.19278423293305769</v>
      </c>
    </row>
    <row r="40" spans="1:10" ht="15.75" thickBot="1" x14ac:dyDescent="0.3"/>
    <row r="41" spans="1:10" ht="38.25" thickBot="1" x14ac:dyDescent="0.3">
      <c r="B41" s="438" t="s">
        <v>137</v>
      </c>
      <c r="C41" s="439"/>
      <c r="D41" s="162" t="s">
        <v>178</v>
      </c>
      <c r="E41" s="161" t="s">
        <v>139</v>
      </c>
      <c r="F41" s="163" t="s">
        <v>179</v>
      </c>
      <c r="G41" s="164" t="s">
        <v>180</v>
      </c>
    </row>
    <row r="42" spans="1:10" ht="16.5" x14ac:dyDescent="0.3">
      <c r="B42" s="440" t="s">
        <v>146</v>
      </c>
      <c r="C42" s="145" t="s">
        <v>181</v>
      </c>
      <c r="D42" s="147">
        <v>54095</v>
      </c>
      <c r="E42" s="148">
        <v>52655</v>
      </c>
      <c r="F42" s="149">
        <v>-2.35E-2</v>
      </c>
      <c r="G42" s="150">
        <f t="shared" ref="G42:G50" si="9">((E42-D42)/D42)</f>
        <v>-2.661983547462797E-2</v>
      </c>
    </row>
    <row r="43" spans="1:10" ht="16.5" x14ac:dyDescent="0.3">
      <c r="B43" s="441"/>
      <c r="C43" s="131" t="s">
        <v>182</v>
      </c>
      <c r="D43" s="151">
        <v>43733</v>
      </c>
      <c r="E43" s="152">
        <v>36657</v>
      </c>
      <c r="F43" s="153">
        <v>-0.505</v>
      </c>
      <c r="G43" s="154">
        <f t="shared" si="9"/>
        <v>-0.16180001371961678</v>
      </c>
    </row>
    <row r="44" spans="1:10" ht="15.75" thickBot="1" x14ac:dyDescent="0.3">
      <c r="B44" s="442"/>
      <c r="C44" s="146" t="s">
        <v>183</v>
      </c>
      <c r="D44" s="155">
        <v>0.97</v>
      </c>
      <c r="E44" s="155">
        <v>0.71</v>
      </c>
      <c r="F44" s="159" t="s">
        <v>184</v>
      </c>
      <c r="G44" s="157">
        <f t="shared" si="9"/>
        <v>-0.26804123711340205</v>
      </c>
    </row>
    <row r="45" spans="1:10" ht="16.5" x14ac:dyDescent="0.3">
      <c r="B45" s="443" t="s">
        <v>150</v>
      </c>
      <c r="C45" s="145" t="s">
        <v>181</v>
      </c>
      <c r="D45" s="148">
        <v>33260</v>
      </c>
      <c r="E45" s="148">
        <v>33284</v>
      </c>
      <c r="F45" s="149">
        <v>-1.7500000000000002E-2</v>
      </c>
      <c r="G45" s="150">
        <f t="shared" si="9"/>
        <v>7.2158749248346361E-4</v>
      </c>
    </row>
    <row r="46" spans="1:10" ht="16.5" x14ac:dyDescent="0.3">
      <c r="B46" s="444"/>
      <c r="C46" s="131" t="s">
        <v>182</v>
      </c>
      <c r="D46" s="151">
        <v>18830</v>
      </c>
      <c r="E46" s="151">
        <v>17422</v>
      </c>
      <c r="F46" s="158">
        <v>-0.69399999999999995</v>
      </c>
      <c r="G46" s="154">
        <f t="shared" si="9"/>
        <v>-7.4774296335634621E-2</v>
      </c>
    </row>
    <row r="47" spans="1:10" ht="15.75" thickBot="1" x14ac:dyDescent="0.3">
      <c r="B47" s="445"/>
      <c r="C47" s="146" t="s">
        <v>183</v>
      </c>
      <c r="D47" s="155">
        <v>0.6</v>
      </c>
      <c r="E47" s="155">
        <v>0.5</v>
      </c>
      <c r="F47" s="159" t="s">
        <v>184</v>
      </c>
      <c r="G47" s="160">
        <f t="shared" si="9"/>
        <v>-0.16666666666666663</v>
      </c>
    </row>
    <row r="48" spans="1:10" ht="16.5" x14ac:dyDescent="0.3">
      <c r="B48" s="446" t="s">
        <v>151</v>
      </c>
      <c r="C48" s="145" t="s">
        <v>181</v>
      </c>
      <c r="D48" s="148">
        <v>70480</v>
      </c>
      <c r="E48" s="148">
        <v>70476</v>
      </c>
      <c r="F48" s="149">
        <v>-1.9900000000000001E-2</v>
      </c>
      <c r="G48" s="150">
        <f t="shared" si="9"/>
        <v>-5.6753688989784337E-5</v>
      </c>
    </row>
    <row r="49" spans="2:7" ht="16.5" x14ac:dyDescent="0.3">
      <c r="B49" s="447"/>
      <c r="C49" s="131" t="s">
        <v>149</v>
      </c>
      <c r="D49" s="151">
        <v>108109</v>
      </c>
      <c r="E49" s="234">
        <v>69197</v>
      </c>
      <c r="F49" s="158">
        <v>-0.57599999999999996</v>
      </c>
      <c r="G49" s="154">
        <f t="shared" si="9"/>
        <v>-0.35993303055249792</v>
      </c>
    </row>
    <row r="50" spans="2:7" ht="15.75" thickBot="1" x14ac:dyDescent="0.3">
      <c r="B50" s="448"/>
      <c r="C50" s="146" t="s">
        <v>183</v>
      </c>
      <c r="D50" s="155">
        <v>2.77</v>
      </c>
      <c r="E50" s="155">
        <v>2.2400000000000002</v>
      </c>
      <c r="F50" s="156" t="s">
        <v>184</v>
      </c>
      <c r="G50" s="160">
        <f t="shared" si="9"/>
        <v>-0.19133574007220208</v>
      </c>
    </row>
  </sheetData>
  <mergeCells count="22">
    <mergeCell ref="B48:B50"/>
    <mergeCell ref="F12:G12"/>
    <mergeCell ref="E12:E13"/>
    <mergeCell ref="B41:C41"/>
    <mergeCell ref="B42:B44"/>
    <mergeCell ref="B45:B47"/>
    <mergeCell ref="A30:A36"/>
    <mergeCell ref="H12:J12"/>
    <mergeCell ref="H1:I1"/>
    <mergeCell ref="A14:A22"/>
    <mergeCell ref="C12:D12"/>
    <mergeCell ref="C2:D2"/>
    <mergeCell ref="B12:B13"/>
    <mergeCell ref="C1:D1"/>
    <mergeCell ref="A3:B5"/>
    <mergeCell ref="A6:B8"/>
    <mergeCell ref="A9:B11"/>
    <mergeCell ref="A1:B2"/>
    <mergeCell ref="A12:A13"/>
    <mergeCell ref="A23:A29"/>
    <mergeCell ref="F1:G1"/>
    <mergeCell ref="F2:G2"/>
  </mergeCells>
  <conditionalFormatting sqref="F42:G50">
    <cfRule type="cellIs" dxfId="75" priority="1" operator="lessThan">
      <formula>0</formula>
    </cfRule>
    <cfRule type="cellIs" dxfId="74" priority="2" operator="greaterThan">
      <formula>0</formula>
    </cfRule>
  </conditionalFormatting>
  <conditionalFormatting sqref="H3:I11">
    <cfRule type="cellIs" dxfId="73" priority="13" operator="lessThan">
      <formula>0</formula>
    </cfRule>
    <cfRule type="cellIs" dxfId="72" priority="14" operator="greaterThan">
      <formula>0</formula>
    </cfRule>
  </conditionalFormatting>
  <conditionalFormatting sqref="H23:I35">
    <cfRule type="cellIs" dxfId="71" priority="3" stopIfTrue="1" operator="lessThan">
      <formula>0</formula>
    </cfRule>
    <cfRule type="cellIs" dxfId="70" priority="4" stopIfTrue="1" operator="greaterThan">
      <formula>0</formula>
    </cfRule>
  </conditionalFormatting>
  <conditionalFormatting sqref="H14:J22 J23:J36">
    <cfRule type="cellIs" dxfId="69" priority="11" stopIfTrue="1" operator="lessThan">
      <formula>0</formula>
    </cfRule>
    <cfRule type="cellIs" dxfId="68" priority="1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25B4-45B5-4FA8-9C51-0C51AB438CD3}">
  <dimension ref="A1:I32"/>
  <sheetViews>
    <sheetView zoomScale="60" zoomScaleNormal="60" workbookViewId="0">
      <selection activeCell="F38" sqref="F38"/>
    </sheetView>
  </sheetViews>
  <sheetFormatPr defaultRowHeight="15" x14ac:dyDescent="0.25"/>
  <cols>
    <col min="1" max="2" width="49.140625" customWidth="1"/>
    <col min="3" max="3" width="20.7109375" customWidth="1"/>
    <col min="4" max="4" width="18.85546875" customWidth="1"/>
    <col min="5" max="5" width="22.28515625" customWidth="1"/>
    <col min="6" max="6" width="24.7109375" customWidth="1"/>
    <col min="7" max="7" width="21.7109375" customWidth="1"/>
    <col min="8" max="8" width="22.140625" customWidth="1"/>
  </cols>
  <sheetData>
    <row r="1" spans="1:9" ht="21" x14ac:dyDescent="0.35">
      <c r="A1" s="360" t="s">
        <v>137</v>
      </c>
      <c r="B1" s="360" t="s">
        <v>152</v>
      </c>
      <c r="C1" s="366" t="s">
        <v>153</v>
      </c>
      <c r="D1" s="366"/>
      <c r="E1" s="366" t="s">
        <v>154</v>
      </c>
      <c r="F1" s="366"/>
      <c r="G1" s="450" t="s">
        <v>185</v>
      </c>
      <c r="H1" s="450"/>
      <c r="I1" s="450"/>
    </row>
    <row r="2" spans="1:9" ht="18.75" x14ac:dyDescent="0.3">
      <c r="A2" s="360"/>
      <c r="B2" s="360"/>
      <c r="C2" s="130" t="s">
        <v>156</v>
      </c>
      <c r="D2" s="130" t="s">
        <v>157</v>
      </c>
      <c r="E2" s="130" t="s">
        <v>156</v>
      </c>
      <c r="F2" s="130" t="s">
        <v>157</v>
      </c>
      <c r="G2" s="130" t="s">
        <v>158</v>
      </c>
      <c r="H2" s="130" t="s">
        <v>159</v>
      </c>
      <c r="I2" s="130" t="s">
        <v>160</v>
      </c>
    </row>
    <row r="3" spans="1:9" x14ac:dyDescent="0.25">
      <c r="A3" s="452" t="s">
        <v>146</v>
      </c>
      <c r="B3" s="131" t="s">
        <v>161</v>
      </c>
      <c r="C3" s="131">
        <v>124729</v>
      </c>
      <c r="D3" s="131">
        <f>C3/200000</f>
        <v>0.623645</v>
      </c>
      <c r="E3" s="131">
        <v>103067</v>
      </c>
      <c r="F3" s="131">
        <f>E3/200000</f>
        <v>0.51533499999999999</v>
      </c>
      <c r="G3" s="131">
        <f>E3-C3</f>
        <v>-21662</v>
      </c>
      <c r="H3" s="131">
        <f>F3-D3</f>
        <v>-0.10831000000000002</v>
      </c>
      <c r="I3" s="138">
        <f>H3/D3</f>
        <v>-0.17367252202775621</v>
      </c>
    </row>
    <row r="4" spans="1:9" x14ac:dyDescent="0.25">
      <c r="A4" s="452"/>
      <c r="B4" s="131" t="s">
        <v>162</v>
      </c>
      <c r="C4" s="131">
        <v>39011</v>
      </c>
      <c r="D4" s="131">
        <f t="shared" ref="D4:F11" si="0">C4/200000</f>
        <v>0.19505500000000001</v>
      </c>
      <c r="E4" s="131">
        <v>26698</v>
      </c>
      <c r="F4" s="131">
        <f t="shared" ref="F4:F10" si="1">E4/200000</f>
        <v>0.13349</v>
      </c>
      <c r="G4" s="131">
        <f t="shared" ref="G4:G32" si="2">E4-C4</f>
        <v>-12313</v>
      </c>
      <c r="H4" s="131">
        <f t="shared" ref="H4:H32" si="3">F4-D4</f>
        <v>-6.1565000000000009E-2</v>
      </c>
      <c r="I4" s="138">
        <f t="shared" ref="I4:I32" si="4">H4/D4</f>
        <v>-0.31562892517495067</v>
      </c>
    </row>
    <row r="5" spans="1:9" x14ac:dyDescent="0.25">
      <c r="A5" s="452"/>
      <c r="B5" s="131" t="s">
        <v>163</v>
      </c>
      <c r="C5" s="131">
        <v>408</v>
      </c>
      <c r="D5" s="131">
        <f t="shared" si="0"/>
        <v>2.0400000000000001E-3</v>
      </c>
      <c r="E5" s="131">
        <v>401</v>
      </c>
      <c r="F5" s="131">
        <f t="shared" si="1"/>
        <v>2.0049999999999998E-3</v>
      </c>
      <c r="G5" s="131">
        <f t="shared" si="2"/>
        <v>-7</v>
      </c>
      <c r="H5" s="131">
        <f t="shared" si="3"/>
        <v>-3.5000000000000309E-5</v>
      </c>
      <c r="I5" s="138">
        <f t="shared" si="4"/>
        <v>-1.715686274509819E-2</v>
      </c>
    </row>
    <row r="6" spans="1:9" x14ac:dyDescent="0.25">
      <c r="A6" s="452"/>
      <c r="B6" s="131" t="s">
        <v>164</v>
      </c>
      <c r="C6" s="131">
        <v>4322</v>
      </c>
      <c r="D6" s="131">
        <f t="shared" si="0"/>
        <v>2.1610000000000001E-2</v>
      </c>
      <c r="E6" s="131">
        <v>4353</v>
      </c>
      <c r="F6" s="131">
        <f t="shared" si="1"/>
        <v>2.1765E-2</v>
      </c>
      <c r="G6" s="131">
        <f t="shared" si="2"/>
        <v>31</v>
      </c>
      <c r="H6" s="131">
        <f t="shared" si="3"/>
        <v>1.5499999999999889E-4</v>
      </c>
      <c r="I6" s="138">
        <f t="shared" si="4"/>
        <v>7.1726052753354414E-3</v>
      </c>
    </row>
    <row r="7" spans="1:9" x14ac:dyDescent="0.25">
      <c r="A7" s="452"/>
      <c r="B7" s="131" t="s">
        <v>165</v>
      </c>
      <c r="C7" s="131">
        <v>971</v>
      </c>
      <c r="D7" s="131">
        <f t="shared" si="0"/>
        <v>4.8549999999999999E-3</v>
      </c>
      <c r="E7" s="131">
        <v>975</v>
      </c>
      <c r="F7" s="131">
        <f t="shared" si="1"/>
        <v>4.875E-3</v>
      </c>
      <c r="G7" s="131">
        <f t="shared" si="2"/>
        <v>4</v>
      </c>
      <c r="H7" s="131">
        <f t="shared" si="3"/>
        <v>2.0000000000000052E-5</v>
      </c>
      <c r="I7" s="138">
        <f t="shared" si="4"/>
        <v>4.1194644696189607E-3</v>
      </c>
    </row>
    <row r="8" spans="1:9" x14ac:dyDescent="0.25">
      <c r="A8" s="452"/>
      <c r="B8" s="131" t="s">
        <v>166</v>
      </c>
      <c r="C8" s="131">
        <v>2383</v>
      </c>
      <c r="D8" s="131">
        <f t="shared" si="0"/>
        <v>1.1915E-2</v>
      </c>
      <c r="E8" s="131">
        <v>2383</v>
      </c>
      <c r="F8" s="131">
        <f t="shared" si="1"/>
        <v>1.1915E-2</v>
      </c>
      <c r="G8" s="131">
        <f t="shared" si="2"/>
        <v>0</v>
      </c>
      <c r="H8" s="131">
        <f t="shared" si="3"/>
        <v>0</v>
      </c>
      <c r="I8" s="138">
        <f t="shared" si="4"/>
        <v>0</v>
      </c>
    </row>
    <row r="9" spans="1:9" x14ac:dyDescent="0.25">
      <c r="A9" s="452"/>
      <c r="B9" s="131" t="s">
        <v>167</v>
      </c>
      <c r="C9" s="131">
        <v>2962</v>
      </c>
      <c r="D9" s="131">
        <f t="shared" si="0"/>
        <v>1.481E-2</v>
      </c>
      <c r="E9" s="131">
        <v>2948</v>
      </c>
      <c r="F9" s="131">
        <f t="shared" si="1"/>
        <v>1.474E-2</v>
      </c>
      <c r="G9" s="131">
        <f t="shared" si="2"/>
        <v>-14</v>
      </c>
      <c r="H9" s="131">
        <f t="shared" si="3"/>
        <v>-7.0000000000000617E-5</v>
      </c>
      <c r="I9" s="138">
        <f t="shared" si="4"/>
        <v>-4.72653612424042E-3</v>
      </c>
    </row>
    <row r="10" spans="1:9" x14ac:dyDescent="0.25">
      <c r="A10" s="452"/>
      <c r="B10" s="131" t="s">
        <v>168</v>
      </c>
      <c r="C10" s="131">
        <v>20891</v>
      </c>
      <c r="D10" s="131">
        <f t="shared" si="0"/>
        <v>0.10445500000000001</v>
      </c>
      <c r="E10" s="131">
        <v>2422</v>
      </c>
      <c r="F10" s="131">
        <f t="shared" si="1"/>
        <v>1.2109999999999999E-2</v>
      </c>
      <c r="G10" s="131">
        <f t="shared" si="2"/>
        <v>-18469</v>
      </c>
      <c r="H10" s="131">
        <f t="shared" si="3"/>
        <v>-9.234500000000001E-2</v>
      </c>
      <c r="I10" s="138">
        <f t="shared" si="4"/>
        <v>-0.8840649083337323</v>
      </c>
    </row>
    <row r="11" spans="1:9" x14ac:dyDescent="0.25">
      <c r="A11" s="452"/>
      <c r="B11" s="132" t="s">
        <v>169</v>
      </c>
      <c r="C11" s="132">
        <f>SUM(C3:C10)</f>
        <v>195677</v>
      </c>
      <c r="D11" s="133">
        <f t="shared" si="0"/>
        <v>0.97838499999999995</v>
      </c>
      <c r="E11" s="132">
        <f>SUM(E3:E10)</f>
        <v>143247</v>
      </c>
      <c r="F11" s="140">
        <f t="shared" si="0"/>
        <v>0.71623499999999996</v>
      </c>
      <c r="G11" s="140">
        <f t="shared" si="2"/>
        <v>-52430</v>
      </c>
      <c r="H11" s="140">
        <f t="shared" si="3"/>
        <v>-0.26214999999999999</v>
      </c>
      <c r="I11" s="141">
        <f t="shared" si="4"/>
        <v>-0.2679415567491325</v>
      </c>
    </row>
    <row r="12" spans="1:9" x14ac:dyDescent="0.25">
      <c r="A12" s="464" t="s">
        <v>186</v>
      </c>
      <c r="B12" s="131" t="s">
        <v>161</v>
      </c>
      <c r="C12" s="131">
        <v>62525</v>
      </c>
      <c r="D12" s="131">
        <f>C12/250000</f>
        <v>0.25009999999999999</v>
      </c>
      <c r="E12" s="131">
        <v>62515</v>
      </c>
      <c r="F12" s="131">
        <f>E12/250000</f>
        <v>0.25006</v>
      </c>
      <c r="G12" s="131">
        <f t="shared" si="2"/>
        <v>-10</v>
      </c>
      <c r="H12" s="131">
        <f t="shared" si="3"/>
        <v>-3.9999999999984492E-5</v>
      </c>
      <c r="I12" s="138">
        <f t="shared" si="4"/>
        <v>-1.599360255897021E-4</v>
      </c>
    </row>
    <row r="13" spans="1:9" x14ac:dyDescent="0.25">
      <c r="A13" s="464"/>
      <c r="B13" s="131" t="s">
        <v>171</v>
      </c>
      <c r="C13" s="131">
        <v>43838</v>
      </c>
      <c r="D13" s="131">
        <f t="shared" ref="D13:D18" si="5">C13/250000</f>
        <v>0.17535200000000001</v>
      </c>
      <c r="E13" s="131">
        <v>24618</v>
      </c>
      <c r="F13" s="131">
        <f t="shared" ref="F13:F18" si="6">E13/250000</f>
        <v>9.8472000000000004E-2</v>
      </c>
      <c r="G13" s="131">
        <f t="shared" si="2"/>
        <v>-19220</v>
      </c>
      <c r="H13" s="131">
        <f t="shared" si="3"/>
        <v>-7.6880000000000004E-2</v>
      </c>
      <c r="I13" s="138">
        <f t="shared" si="4"/>
        <v>-0.4384324102376933</v>
      </c>
    </row>
    <row r="14" spans="1:9" x14ac:dyDescent="0.25">
      <c r="A14" s="464"/>
      <c r="B14" s="131" t="s">
        <v>172</v>
      </c>
      <c r="C14" s="131">
        <v>4715</v>
      </c>
      <c r="D14" s="131">
        <f t="shared" si="5"/>
        <v>1.8859999999999998E-2</v>
      </c>
      <c r="E14" s="131">
        <v>4633</v>
      </c>
      <c r="F14" s="131">
        <f t="shared" si="6"/>
        <v>1.8532E-2</v>
      </c>
      <c r="G14" s="131">
        <f t="shared" si="2"/>
        <v>-82</v>
      </c>
      <c r="H14" s="131">
        <f t="shared" si="3"/>
        <v>-3.2799999999999843E-4</v>
      </c>
      <c r="I14" s="138">
        <f t="shared" si="4"/>
        <v>-1.7391304347826004E-2</v>
      </c>
    </row>
    <row r="15" spans="1:9" x14ac:dyDescent="0.25">
      <c r="A15" s="464"/>
      <c r="B15" s="131" t="s">
        <v>173</v>
      </c>
      <c r="C15" s="131">
        <v>6245</v>
      </c>
      <c r="D15" s="131">
        <f t="shared" si="5"/>
        <v>2.4979999999999999E-2</v>
      </c>
      <c r="E15" s="131">
        <v>6233</v>
      </c>
      <c r="F15" s="131">
        <f t="shared" si="6"/>
        <v>2.4931999999999999E-2</v>
      </c>
      <c r="G15" s="131">
        <f t="shared" si="2"/>
        <v>-12</v>
      </c>
      <c r="H15" s="131">
        <f t="shared" si="3"/>
        <v>-4.7999999999999432E-5</v>
      </c>
      <c r="I15" s="138">
        <f t="shared" si="4"/>
        <v>-1.9215372297838045E-3</v>
      </c>
    </row>
    <row r="16" spans="1:9" x14ac:dyDescent="0.25">
      <c r="A16" s="464"/>
      <c r="B16" s="131" t="s">
        <v>174</v>
      </c>
      <c r="C16" s="131">
        <v>3808</v>
      </c>
      <c r="D16" s="131">
        <f t="shared" si="5"/>
        <v>1.5232000000000001E-2</v>
      </c>
      <c r="E16" s="131">
        <v>3798</v>
      </c>
      <c r="F16" s="131">
        <f t="shared" si="6"/>
        <v>1.5192000000000001E-2</v>
      </c>
      <c r="G16" s="131">
        <f t="shared" si="2"/>
        <v>-10</v>
      </c>
      <c r="H16" s="131">
        <f t="shared" si="3"/>
        <v>-4.0000000000000105E-5</v>
      </c>
      <c r="I16" s="138">
        <f t="shared" si="4"/>
        <v>-2.6260504201680739E-3</v>
      </c>
    </row>
    <row r="17" spans="1:9" x14ac:dyDescent="0.25">
      <c r="A17" s="464"/>
      <c r="B17" s="131" t="s">
        <v>175</v>
      </c>
      <c r="C17" s="131">
        <v>165</v>
      </c>
      <c r="D17" s="131">
        <f t="shared" si="5"/>
        <v>6.6E-4</v>
      </c>
      <c r="E17" s="131">
        <v>160</v>
      </c>
      <c r="F17" s="131">
        <f t="shared" si="6"/>
        <v>6.4000000000000005E-4</v>
      </c>
      <c r="G17" s="131">
        <f t="shared" si="2"/>
        <v>-5</v>
      </c>
      <c r="H17" s="131">
        <f t="shared" si="3"/>
        <v>-1.9999999999999944E-5</v>
      </c>
      <c r="I17" s="138">
        <f t="shared" si="4"/>
        <v>-3.0303030303030217E-2</v>
      </c>
    </row>
    <row r="18" spans="1:9" x14ac:dyDescent="0.25">
      <c r="A18" s="464"/>
      <c r="B18" s="132" t="s">
        <v>169</v>
      </c>
      <c r="C18" s="132">
        <f>SUM(C12:C17)</f>
        <v>121296</v>
      </c>
      <c r="D18" s="133">
        <f t="shared" si="5"/>
        <v>0.485184</v>
      </c>
      <c r="E18" s="132">
        <f>SUM(E12:E17)</f>
        <v>101957</v>
      </c>
      <c r="F18" s="133">
        <f t="shared" si="6"/>
        <v>0.40782800000000002</v>
      </c>
      <c r="G18" s="137">
        <f t="shared" si="2"/>
        <v>-19339</v>
      </c>
      <c r="H18" s="137">
        <f t="shared" si="3"/>
        <v>-7.735599999999998E-2</v>
      </c>
      <c r="I18" s="139">
        <f t="shared" si="4"/>
        <v>-0.15943641999736177</v>
      </c>
    </row>
    <row r="19" spans="1:9" x14ac:dyDescent="0.25">
      <c r="A19" s="463" t="s">
        <v>170</v>
      </c>
      <c r="B19" s="131" t="s">
        <v>161</v>
      </c>
      <c r="C19" s="131">
        <v>62525</v>
      </c>
      <c r="D19" s="131">
        <f t="shared" ref="D19:D32" si="7">C19/200000</f>
        <v>0.31262499999999999</v>
      </c>
      <c r="E19" s="131">
        <v>62515</v>
      </c>
      <c r="F19" s="131">
        <f t="shared" ref="F19:F32" si="8">E19/200000</f>
        <v>0.31257499999999999</v>
      </c>
      <c r="G19" s="131">
        <f t="shared" si="2"/>
        <v>-10</v>
      </c>
      <c r="H19" s="131">
        <f t="shared" si="3"/>
        <v>-4.9999999999994493E-5</v>
      </c>
      <c r="I19" s="138">
        <f t="shared" si="4"/>
        <v>-1.5993602558974648E-4</v>
      </c>
    </row>
    <row r="20" spans="1:9" x14ac:dyDescent="0.25">
      <c r="A20" s="463"/>
      <c r="B20" s="131" t="s">
        <v>171</v>
      </c>
      <c r="C20" s="131">
        <v>43838</v>
      </c>
      <c r="D20" s="131">
        <f t="shared" si="7"/>
        <v>0.21919</v>
      </c>
      <c r="E20" s="131">
        <v>24618</v>
      </c>
      <c r="F20" s="131">
        <f t="shared" si="8"/>
        <v>0.12309</v>
      </c>
      <c r="G20" s="131">
        <f t="shared" si="2"/>
        <v>-19220</v>
      </c>
      <c r="H20" s="131">
        <f t="shared" si="3"/>
        <v>-9.6099999999999991E-2</v>
      </c>
      <c r="I20" s="138">
        <f t="shared" si="4"/>
        <v>-0.4384324102376933</v>
      </c>
    </row>
    <row r="21" spans="1:9" x14ac:dyDescent="0.25">
      <c r="A21" s="463"/>
      <c r="B21" s="131" t="s">
        <v>172</v>
      </c>
      <c r="C21" s="131">
        <v>4715</v>
      </c>
      <c r="D21" s="131">
        <f t="shared" si="7"/>
        <v>2.3574999999999999E-2</v>
      </c>
      <c r="E21" s="131">
        <v>4633</v>
      </c>
      <c r="F21" s="131">
        <f t="shared" si="8"/>
        <v>2.3165000000000002E-2</v>
      </c>
      <c r="G21" s="131">
        <f t="shared" si="2"/>
        <v>-82</v>
      </c>
      <c r="H21" s="131">
        <f t="shared" si="3"/>
        <v>-4.0999999999999717E-4</v>
      </c>
      <c r="I21" s="138">
        <f t="shared" si="4"/>
        <v>-1.7391304347825969E-2</v>
      </c>
    </row>
    <row r="22" spans="1:9" x14ac:dyDescent="0.25">
      <c r="A22" s="463"/>
      <c r="B22" s="131" t="s">
        <v>173</v>
      </c>
      <c r="C22" s="131">
        <v>6245</v>
      </c>
      <c r="D22" s="131">
        <f t="shared" si="7"/>
        <v>3.1224999999999999E-2</v>
      </c>
      <c r="E22" s="131">
        <v>6233</v>
      </c>
      <c r="F22" s="131">
        <f t="shared" si="8"/>
        <v>3.1165000000000002E-2</v>
      </c>
      <c r="G22" s="131">
        <f t="shared" si="2"/>
        <v>-12</v>
      </c>
      <c r="H22" s="131">
        <f t="shared" si="3"/>
        <v>-5.9999999999997555E-5</v>
      </c>
      <c r="I22" s="138">
        <f t="shared" si="4"/>
        <v>-1.9215372297837487E-3</v>
      </c>
    </row>
    <row r="23" spans="1:9" x14ac:dyDescent="0.25">
      <c r="A23" s="463"/>
      <c r="B23" s="131" t="s">
        <v>174</v>
      </c>
      <c r="C23" s="131">
        <v>3808</v>
      </c>
      <c r="D23" s="131">
        <f t="shared" si="7"/>
        <v>1.9040000000000001E-2</v>
      </c>
      <c r="E23" s="131">
        <v>3798</v>
      </c>
      <c r="F23" s="131">
        <f t="shared" si="8"/>
        <v>1.899E-2</v>
      </c>
      <c r="G23" s="131">
        <f t="shared" si="2"/>
        <v>-10</v>
      </c>
      <c r="H23" s="131">
        <f t="shared" si="3"/>
        <v>-5.0000000000001432E-5</v>
      </c>
      <c r="I23" s="138">
        <f t="shared" si="4"/>
        <v>-2.6260504201681425E-3</v>
      </c>
    </row>
    <row r="24" spans="1:9" x14ac:dyDescent="0.25">
      <c r="A24" s="463"/>
      <c r="B24" s="131" t="s">
        <v>175</v>
      </c>
      <c r="C24" s="131">
        <v>165</v>
      </c>
      <c r="D24" s="131">
        <f t="shared" si="7"/>
        <v>8.25E-4</v>
      </c>
      <c r="E24" s="131">
        <v>160</v>
      </c>
      <c r="F24" s="131">
        <f t="shared" si="8"/>
        <v>8.0000000000000004E-4</v>
      </c>
      <c r="G24" s="131">
        <f t="shared" si="2"/>
        <v>-5</v>
      </c>
      <c r="H24" s="131">
        <f t="shared" si="3"/>
        <v>-2.4999999999999957E-5</v>
      </c>
      <c r="I24" s="138">
        <f t="shared" si="4"/>
        <v>-3.0303030303030252E-2</v>
      </c>
    </row>
    <row r="25" spans="1:9" x14ac:dyDescent="0.25">
      <c r="A25" s="463"/>
      <c r="B25" s="132" t="s">
        <v>169</v>
      </c>
      <c r="C25" s="132">
        <f>SUM(C19:C24)</f>
        <v>121296</v>
      </c>
      <c r="D25" s="133">
        <f t="shared" si="7"/>
        <v>0.60648000000000002</v>
      </c>
      <c r="E25" s="132">
        <f>SUM(E19:E24)</f>
        <v>101957</v>
      </c>
      <c r="F25" s="133">
        <f t="shared" si="8"/>
        <v>0.50978500000000004</v>
      </c>
      <c r="G25" s="137">
        <f t="shared" si="2"/>
        <v>-19339</v>
      </c>
      <c r="H25" s="137">
        <f t="shared" si="3"/>
        <v>-9.6694999999999975E-2</v>
      </c>
      <c r="I25" s="139">
        <f t="shared" si="4"/>
        <v>-0.15943641999736177</v>
      </c>
    </row>
    <row r="26" spans="1:9" x14ac:dyDescent="0.25">
      <c r="A26" s="449" t="s">
        <v>151</v>
      </c>
      <c r="B26" s="131" t="s">
        <v>161</v>
      </c>
      <c r="C26" s="131">
        <v>369711</v>
      </c>
      <c r="D26" s="131">
        <f t="shared" si="7"/>
        <v>1.8485549999999999</v>
      </c>
      <c r="E26" s="131">
        <v>262199</v>
      </c>
      <c r="F26" s="131">
        <f t="shared" si="8"/>
        <v>1.3109949999999999</v>
      </c>
      <c r="G26" s="131">
        <f t="shared" si="2"/>
        <v>-107512</v>
      </c>
      <c r="H26" s="131">
        <f t="shared" si="3"/>
        <v>-0.53756000000000004</v>
      </c>
      <c r="I26" s="138">
        <f t="shared" si="4"/>
        <v>-0.29080011143839379</v>
      </c>
    </row>
    <row r="27" spans="1:9" x14ac:dyDescent="0.25">
      <c r="A27" s="449"/>
      <c r="B27" s="131" t="s">
        <v>162</v>
      </c>
      <c r="C27" s="131">
        <v>112478</v>
      </c>
      <c r="D27" s="131">
        <f t="shared" si="7"/>
        <v>0.56238999999999995</v>
      </c>
      <c r="E27" s="131">
        <v>112511</v>
      </c>
      <c r="F27" s="131">
        <f t="shared" si="8"/>
        <v>0.56255500000000003</v>
      </c>
      <c r="G27" s="131">
        <f t="shared" si="2"/>
        <v>33</v>
      </c>
      <c r="H27" s="131">
        <f t="shared" si="3"/>
        <v>1.6500000000008175E-4</v>
      </c>
      <c r="I27" s="138">
        <f t="shared" si="4"/>
        <v>2.9339070751628187E-4</v>
      </c>
    </row>
    <row r="28" spans="1:9" x14ac:dyDescent="0.25">
      <c r="A28" s="449"/>
      <c r="B28" s="131" t="s">
        <v>176</v>
      </c>
      <c r="C28" s="131">
        <v>710</v>
      </c>
      <c r="D28" s="131">
        <f t="shared" si="7"/>
        <v>3.5500000000000002E-3</v>
      </c>
      <c r="E28" s="131">
        <v>875</v>
      </c>
      <c r="F28" s="131">
        <f t="shared" si="8"/>
        <v>4.3750000000000004E-3</v>
      </c>
      <c r="G28" s="131">
        <f t="shared" si="2"/>
        <v>165</v>
      </c>
      <c r="H28" s="131">
        <f t="shared" si="3"/>
        <v>8.2500000000000021E-4</v>
      </c>
      <c r="I28" s="138">
        <f t="shared" si="4"/>
        <v>0.23239436619718315</v>
      </c>
    </row>
    <row r="29" spans="1:9" x14ac:dyDescent="0.25">
      <c r="A29" s="449"/>
      <c r="B29" s="131" t="s">
        <v>167</v>
      </c>
      <c r="C29" s="131">
        <v>5997</v>
      </c>
      <c r="D29" s="131">
        <f t="shared" si="7"/>
        <v>2.9985000000000001E-2</v>
      </c>
      <c r="E29" s="131">
        <v>5997</v>
      </c>
      <c r="F29" s="131">
        <f t="shared" si="8"/>
        <v>2.9985000000000001E-2</v>
      </c>
      <c r="G29" s="131">
        <f t="shared" si="2"/>
        <v>0</v>
      </c>
      <c r="H29" s="131">
        <f t="shared" si="3"/>
        <v>0</v>
      </c>
      <c r="I29" s="138">
        <f t="shared" si="4"/>
        <v>0</v>
      </c>
    </row>
    <row r="30" spans="1:9" x14ac:dyDescent="0.25">
      <c r="A30" s="449"/>
      <c r="B30" s="131" t="s">
        <v>168</v>
      </c>
      <c r="C30" s="131">
        <v>60685</v>
      </c>
      <c r="D30" s="131">
        <f t="shared" si="7"/>
        <v>0.303425</v>
      </c>
      <c r="E30" s="131">
        <v>60949</v>
      </c>
      <c r="F30" s="131">
        <f t="shared" si="8"/>
        <v>0.30474499999999999</v>
      </c>
      <c r="G30" s="131">
        <f t="shared" si="2"/>
        <v>264</v>
      </c>
      <c r="H30" s="131">
        <f t="shared" si="3"/>
        <v>1.3199999999999878E-3</v>
      </c>
      <c r="I30" s="138">
        <f t="shared" si="4"/>
        <v>4.3503336903682552E-3</v>
      </c>
    </row>
    <row r="31" spans="1:9" x14ac:dyDescent="0.25">
      <c r="A31" s="449"/>
      <c r="B31" s="131" t="s">
        <v>177</v>
      </c>
      <c r="C31" s="131">
        <v>5703</v>
      </c>
      <c r="D31" s="131">
        <f t="shared" si="7"/>
        <v>2.8514999999999999E-2</v>
      </c>
      <c r="E31" s="131">
        <v>5703</v>
      </c>
      <c r="F31" s="131">
        <f t="shared" si="8"/>
        <v>2.8514999999999999E-2</v>
      </c>
      <c r="G31" s="131">
        <f t="shared" si="2"/>
        <v>0</v>
      </c>
      <c r="H31" s="131">
        <f t="shared" si="3"/>
        <v>0</v>
      </c>
      <c r="I31" s="138">
        <f t="shared" si="4"/>
        <v>0</v>
      </c>
    </row>
    <row r="32" spans="1:9" x14ac:dyDescent="0.25">
      <c r="A32" s="449"/>
      <c r="B32" s="132" t="s">
        <v>169</v>
      </c>
      <c r="C32" s="132">
        <f>SUM(C26:C31)</f>
        <v>555284</v>
      </c>
      <c r="D32" s="133">
        <f t="shared" si="7"/>
        <v>2.7764199999999999</v>
      </c>
      <c r="E32" s="132">
        <f>SUM(E26:E31)</f>
        <v>448234</v>
      </c>
      <c r="F32" s="133">
        <f t="shared" si="8"/>
        <v>2.2411699999999999</v>
      </c>
      <c r="G32" s="137">
        <f t="shared" si="2"/>
        <v>-107050</v>
      </c>
      <c r="H32" s="137">
        <f t="shared" si="3"/>
        <v>-0.53525</v>
      </c>
      <c r="I32" s="139">
        <f t="shared" si="4"/>
        <v>-0.19278423293305769</v>
      </c>
    </row>
  </sheetData>
  <mergeCells count="9">
    <mergeCell ref="A26:A32"/>
    <mergeCell ref="C1:D1"/>
    <mergeCell ref="E1:F1"/>
    <mergeCell ref="A19:A25"/>
    <mergeCell ref="G1:I1"/>
    <mergeCell ref="A1:A2"/>
    <mergeCell ref="B1:B2"/>
    <mergeCell ref="A3:A11"/>
    <mergeCell ref="A12:A18"/>
  </mergeCells>
  <conditionalFormatting sqref="G3:I32">
    <cfRule type="cellIs" dxfId="67" priority="1" stopIfTrue="1" operator="lessThan">
      <formula>0</formula>
    </cfRule>
    <cfRule type="cellIs" dxfId="66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D1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6C8A-CE54-413B-98ED-7413B98F03C4}">
  <dimension ref="A1:J90"/>
  <sheetViews>
    <sheetView topLeftCell="A89" workbookViewId="0">
      <selection sqref="A1:I14"/>
    </sheetView>
  </sheetViews>
  <sheetFormatPr defaultRowHeight="15" x14ac:dyDescent="0.25"/>
  <cols>
    <col min="1" max="1" width="19.42578125" customWidth="1"/>
    <col min="2" max="2" width="47.42578125" customWidth="1"/>
    <col min="3" max="3" width="22.7109375" customWidth="1"/>
    <col min="4" max="4" width="29.7109375" customWidth="1"/>
    <col min="5" max="5" width="24.42578125" customWidth="1"/>
    <col min="6" max="6" width="24.28515625" customWidth="1"/>
    <col min="7" max="7" width="16.28515625" customWidth="1"/>
    <col min="8" max="8" width="19.140625" customWidth="1"/>
    <col min="9" max="9" width="17.5703125" customWidth="1"/>
  </cols>
  <sheetData>
    <row r="1" spans="1:9" ht="18.75" x14ac:dyDescent="0.3">
      <c r="A1" s="360" t="s">
        <v>137</v>
      </c>
      <c r="B1" s="360"/>
      <c r="C1" s="366" t="s">
        <v>138</v>
      </c>
      <c r="D1" s="456"/>
      <c r="E1" s="366" t="s">
        <v>139</v>
      </c>
      <c r="F1" s="456"/>
      <c r="G1" s="360" t="s">
        <v>140</v>
      </c>
      <c r="H1" s="360"/>
      <c r="I1" s="360"/>
    </row>
    <row r="2" spans="1:9" ht="18.75" x14ac:dyDescent="0.3">
      <c r="A2" s="360"/>
      <c r="B2" s="360"/>
      <c r="C2" s="366" t="s">
        <v>141</v>
      </c>
      <c r="D2" s="366"/>
      <c r="E2" s="366" t="s">
        <v>143</v>
      </c>
      <c r="F2" s="366"/>
      <c r="G2" s="360"/>
      <c r="H2" s="360"/>
      <c r="I2" s="360"/>
    </row>
    <row r="3" spans="1:9" ht="16.5" customHeight="1" x14ac:dyDescent="0.3">
      <c r="A3" s="347" t="s">
        <v>146</v>
      </c>
      <c r="B3" s="348"/>
      <c r="C3" s="131" t="s">
        <v>147</v>
      </c>
      <c r="D3" s="134">
        <v>51130</v>
      </c>
      <c r="E3" s="131" t="s">
        <v>147</v>
      </c>
      <c r="F3" s="134">
        <v>51098</v>
      </c>
      <c r="G3" s="367">
        <f t="shared" ref="G3" si="0">((F3-D3)/D3)</f>
        <v>-6.2585566203794251E-4</v>
      </c>
      <c r="H3" s="367"/>
      <c r="I3" s="367"/>
    </row>
    <row r="4" spans="1:9" ht="16.5" customHeight="1" x14ac:dyDescent="0.3">
      <c r="A4" s="349"/>
      <c r="B4" s="350"/>
      <c r="C4" s="131" t="s">
        <v>148</v>
      </c>
      <c r="D4" s="134">
        <v>10282</v>
      </c>
      <c r="E4" s="131" t="s">
        <v>148</v>
      </c>
      <c r="F4" s="134">
        <v>10282</v>
      </c>
      <c r="G4" s="367">
        <f t="shared" ref="G4" si="1">((F4-D4)/D4)</f>
        <v>0</v>
      </c>
      <c r="H4" s="367"/>
      <c r="I4" s="367"/>
    </row>
    <row r="5" spans="1:9" ht="16.5" customHeight="1" x14ac:dyDescent="0.3">
      <c r="A5" s="349"/>
      <c r="B5" s="350"/>
      <c r="C5" s="131" t="s">
        <v>149</v>
      </c>
      <c r="D5" s="168">
        <v>102440</v>
      </c>
      <c r="E5" s="131" t="s">
        <v>149</v>
      </c>
      <c r="F5" s="168">
        <v>77896</v>
      </c>
      <c r="G5" s="367">
        <f t="shared" ref="G5:G13" si="2">((F5-D5)/D5)</f>
        <v>-0.23959390862944163</v>
      </c>
      <c r="H5" s="367"/>
      <c r="I5" s="367"/>
    </row>
    <row r="6" spans="1:9" ht="18.75" customHeight="1" x14ac:dyDescent="0.3">
      <c r="A6" s="351"/>
      <c r="B6" s="352"/>
      <c r="C6" s="131" t="s">
        <v>187</v>
      </c>
      <c r="D6" s="168">
        <f>SUM(D3+D4+D5)</f>
        <v>163852</v>
      </c>
      <c r="E6" s="131" t="s">
        <v>187</v>
      </c>
      <c r="F6" s="168">
        <f>SUM(F3+F4+F5)</f>
        <v>139276</v>
      </c>
      <c r="G6" s="367">
        <f t="shared" si="2"/>
        <v>-0.14998901447647878</v>
      </c>
      <c r="H6" s="367"/>
      <c r="I6" s="367"/>
    </row>
    <row r="7" spans="1:9" ht="16.5" customHeight="1" x14ac:dyDescent="0.3">
      <c r="A7" s="343" t="s">
        <v>150</v>
      </c>
      <c r="B7" s="344"/>
      <c r="C7" s="131" t="s">
        <v>147</v>
      </c>
      <c r="D7" s="134">
        <v>39514</v>
      </c>
      <c r="E7" s="131" t="s">
        <v>147</v>
      </c>
      <c r="F7" s="134">
        <v>39466</v>
      </c>
      <c r="G7" s="367">
        <f t="shared" si="2"/>
        <v>-1.2147593258085743E-3</v>
      </c>
      <c r="H7" s="367"/>
      <c r="I7" s="367"/>
    </row>
    <row r="8" spans="1:9" ht="16.5" customHeight="1" x14ac:dyDescent="0.3">
      <c r="A8" s="353"/>
      <c r="B8" s="354"/>
      <c r="C8" s="131" t="s">
        <v>148</v>
      </c>
      <c r="D8" s="134">
        <v>5758</v>
      </c>
      <c r="E8" s="131" t="s">
        <v>148</v>
      </c>
      <c r="F8" s="134">
        <v>5758</v>
      </c>
      <c r="G8" s="367">
        <f t="shared" si="2"/>
        <v>0</v>
      </c>
      <c r="H8" s="367"/>
      <c r="I8" s="367"/>
    </row>
    <row r="9" spans="1:9" ht="16.5" customHeight="1" x14ac:dyDescent="0.3">
      <c r="A9" s="353"/>
      <c r="B9" s="354"/>
      <c r="C9" s="131" t="s">
        <v>149</v>
      </c>
      <c r="D9" s="168">
        <v>61234</v>
      </c>
      <c r="E9" s="131" t="s">
        <v>149</v>
      </c>
      <c r="F9" s="168">
        <v>53090</v>
      </c>
      <c r="G9" s="367">
        <f t="shared" si="2"/>
        <v>-0.1329980076428128</v>
      </c>
      <c r="H9" s="367"/>
      <c r="I9" s="367"/>
    </row>
    <row r="10" spans="1:9" ht="18.75" customHeight="1" x14ac:dyDescent="0.3">
      <c r="A10" s="355"/>
      <c r="B10" s="356"/>
      <c r="C10" s="131" t="s">
        <v>187</v>
      </c>
      <c r="D10" s="168">
        <f>SUM(D7+D8+D9)</f>
        <v>106506</v>
      </c>
      <c r="E10" s="131" t="s">
        <v>187</v>
      </c>
      <c r="F10" s="168">
        <f>SUM(F7+F8+F9)</f>
        <v>98314</v>
      </c>
      <c r="G10" s="367">
        <f t="shared" si="2"/>
        <v>-7.6915854505849438E-2</v>
      </c>
      <c r="H10" s="367"/>
      <c r="I10" s="367"/>
    </row>
    <row r="11" spans="1:9" ht="16.5" x14ac:dyDescent="0.3">
      <c r="A11" s="467" t="s">
        <v>151</v>
      </c>
      <c r="B11" s="467"/>
      <c r="C11" s="131" t="s">
        <v>147</v>
      </c>
      <c r="D11" s="134">
        <v>70174</v>
      </c>
      <c r="E11" s="131" t="s">
        <v>147</v>
      </c>
      <c r="F11" s="134">
        <v>70174</v>
      </c>
      <c r="G11" s="367">
        <f t="shared" si="2"/>
        <v>0</v>
      </c>
      <c r="H11" s="367"/>
      <c r="I11" s="367"/>
    </row>
    <row r="12" spans="1:9" ht="16.5" x14ac:dyDescent="0.3">
      <c r="A12" s="467"/>
      <c r="B12" s="467"/>
      <c r="C12" s="131" t="s">
        <v>148</v>
      </c>
      <c r="D12" s="134">
        <v>93258</v>
      </c>
      <c r="E12" s="131" t="s">
        <v>148</v>
      </c>
      <c r="F12" s="134">
        <v>62538</v>
      </c>
      <c r="G12" s="367">
        <f t="shared" si="2"/>
        <v>-0.32940873705204915</v>
      </c>
      <c r="H12" s="367"/>
      <c r="I12" s="367"/>
    </row>
    <row r="13" spans="1:9" ht="16.5" x14ac:dyDescent="0.3">
      <c r="A13" s="467"/>
      <c r="B13" s="467"/>
      <c r="C13" s="131" t="s">
        <v>149</v>
      </c>
      <c r="D13" s="168">
        <v>123300</v>
      </c>
      <c r="E13" s="131" t="s">
        <v>149</v>
      </c>
      <c r="F13" s="168">
        <v>121252</v>
      </c>
      <c r="G13" s="367">
        <f t="shared" si="2"/>
        <v>-1.6609894566098946E-2</v>
      </c>
      <c r="H13" s="367"/>
      <c r="I13" s="367"/>
    </row>
    <row r="14" spans="1:9" ht="16.5" x14ac:dyDescent="0.3">
      <c r="A14" s="467"/>
      <c r="B14" s="467"/>
      <c r="C14" s="131" t="s">
        <v>187</v>
      </c>
      <c r="D14" s="168">
        <f>SUM(D11+D12+D13)</f>
        <v>286732</v>
      </c>
      <c r="E14" s="131" t="s">
        <v>187</v>
      </c>
      <c r="F14" s="168">
        <f>SUM(F11+F12+F13)</f>
        <v>253964</v>
      </c>
      <c r="G14" s="367">
        <f>((F14-D14)/D14)</f>
        <v>-0.1142809313226288</v>
      </c>
      <c r="H14" s="367"/>
      <c r="I14" s="367"/>
    </row>
    <row r="16" spans="1:9" ht="18.75" x14ac:dyDescent="0.3">
      <c r="A16" s="360" t="s">
        <v>137</v>
      </c>
      <c r="B16" s="360"/>
      <c r="C16" s="361" t="s">
        <v>188</v>
      </c>
      <c r="D16" s="362"/>
      <c r="E16" s="362"/>
      <c r="F16" s="363"/>
      <c r="G16" s="360" t="s">
        <v>189</v>
      </c>
      <c r="H16" s="360"/>
      <c r="I16" s="360"/>
    </row>
    <row r="17" spans="1:10" ht="18.75" x14ac:dyDescent="0.3">
      <c r="A17" s="360"/>
      <c r="B17" s="360"/>
      <c r="C17" s="362" t="s">
        <v>190</v>
      </c>
      <c r="D17" s="363"/>
      <c r="E17" s="361" t="s">
        <v>191</v>
      </c>
      <c r="F17" s="363"/>
      <c r="G17" s="360"/>
      <c r="H17" s="360"/>
      <c r="I17" s="360"/>
    </row>
    <row r="18" spans="1:10" ht="16.5" x14ac:dyDescent="0.3">
      <c r="A18" s="347" t="s">
        <v>146</v>
      </c>
      <c r="B18" s="348"/>
      <c r="C18" s="131" t="s">
        <v>147</v>
      </c>
      <c r="D18" s="134">
        <v>51098</v>
      </c>
      <c r="E18" s="131" t="s">
        <v>147</v>
      </c>
      <c r="F18" s="135">
        <v>51990</v>
      </c>
      <c r="G18" s="367">
        <f t="shared" ref="G18" si="3">((F18-D18)/D18)</f>
        <v>1.7456651923754354E-2</v>
      </c>
      <c r="H18" s="367"/>
      <c r="I18" s="367"/>
      <c r="J18" s="232"/>
    </row>
    <row r="19" spans="1:10" ht="16.5" x14ac:dyDescent="0.3">
      <c r="A19" s="349"/>
      <c r="B19" s="350"/>
      <c r="C19" s="131" t="s">
        <v>148</v>
      </c>
      <c r="D19" s="134">
        <v>10282</v>
      </c>
      <c r="E19" s="131" t="s">
        <v>148</v>
      </c>
      <c r="F19" s="135">
        <v>665</v>
      </c>
      <c r="G19" s="367">
        <f t="shared" ref="G19:G29" si="4">((F19-D19)/D19)</f>
        <v>-0.93532386695195491</v>
      </c>
      <c r="H19" s="367"/>
      <c r="I19" s="367"/>
      <c r="J19" s="232"/>
    </row>
    <row r="20" spans="1:10" ht="16.5" x14ac:dyDescent="0.3">
      <c r="A20" s="349"/>
      <c r="B20" s="350"/>
      <c r="C20" s="131" t="s">
        <v>149</v>
      </c>
      <c r="D20" s="168">
        <v>77896</v>
      </c>
      <c r="E20" s="131" t="s">
        <v>149</v>
      </c>
      <c r="F20" s="136">
        <v>36657</v>
      </c>
      <c r="G20" s="367">
        <f t="shared" si="4"/>
        <v>-0.52941100955119647</v>
      </c>
      <c r="H20" s="367"/>
      <c r="I20" s="367"/>
      <c r="J20" s="232"/>
    </row>
    <row r="21" spans="1:10" ht="16.5" x14ac:dyDescent="0.3">
      <c r="A21" s="351"/>
      <c r="B21" s="352"/>
      <c r="C21" s="131" t="s">
        <v>187</v>
      </c>
      <c r="D21" s="168">
        <f>SUM(D18+D19+D20)</f>
        <v>139276</v>
      </c>
      <c r="E21" s="131" t="s">
        <v>187</v>
      </c>
      <c r="F21" s="168">
        <f>SUM(F18+F19+F20)</f>
        <v>89312</v>
      </c>
      <c r="G21" s="367">
        <f t="shared" si="4"/>
        <v>-0.35874091731525892</v>
      </c>
      <c r="H21" s="367"/>
      <c r="I21" s="367"/>
      <c r="J21" s="232"/>
    </row>
    <row r="22" spans="1:10" ht="16.5" x14ac:dyDescent="0.3">
      <c r="A22" s="343" t="s">
        <v>150</v>
      </c>
      <c r="B22" s="344"/>
      <c r="C22" s="131" t="s">
        <v>147</v>
      </c>
      <c r="D22" s="134">
        <v>39466</v>
      </c>
      <c r="E22" s="131" t="s">
        <v>147</v>
      </c>
      <c r="F22" s="134">
        <v>32970</v>
      </c>
      <c r="G22" s="367">
        <f>((F22-D22)/D22)</f>
        <v>-0.16459737495565804</v>
      </c>
      <c r="H22" s="367"/>
      <c r="I22" s="367"/>
      <c r="J22" s="232"/>
    </row>
    <row r="23" spans="1:10" ht="16.5" x14ac:dyDescent="0.3">
      <c r="A23" s="353"/>
      <c r="B23" s="354"/>
      <c r="C23" s="131" t="s">
        <v>148</v>
      </c>
      <c r="D23" s="134">
        <v>5758</v>
      </c>
      <c r="E23" s="131" t="s">
        <v>148</v>
      </c>
      <c r="F23" s="135">
        <v>314</v>
      </c>
      <c r="G23" s="367">
        <f t="shared" si="4"/>
        <v>-0.9454671761028135</v>
      </c>
      <c r="H23" s="367"/>
      <c r="I23" s="367"/>
      <c r="J23" s="232"/>
    </row>
    <row r="24" spans="1:10" ht="16.5" x14ac:dyDescent="0.3">
      <c r="A24" s="353"/>
      <c r="B24" s="354"/>
      <c r="C24" s="131" t="s">
        <v>149</v>
      </c>
      <c r="D24" s="168">
        <v>53090</v>
      </c>
      <c r="E24" s="131" t="s">
        <v>149</v>
      </c>
      <c r="F24" s="134">
        <v>17422</v>
      </c>
      <c r="G24" s="367">
        <f>((F24-D24)/D24)</f>
        <v>-0.67184027123752121</v>
      </c>
      <c r="H24" s="367"/>
      <c r="I24" s="367"/>
      <c r="J24" s="232"/>
    </row>
    <row r="25" spans="1:10" ht="16.5" x14ac:dyDescent="0.3">
      <c r="A25" s="355"/>
      <c r="B25" s="356"/>
      <c r="C25" s="131" t="s">
        <v>187</v>
      </c>
      <c r="D25" s="168">
        <f>SUM(D22+D23+D24)</f>
        <v>98314</v>
      </c>
      <c r="E25" s="131" t="s">
        <v>187</v>
      </c>
      <c r="F25" s="168">
        <f>SUM(F22+F23+F24)</f>
        <v>50706</v>
      </c>
      <c r="G25" s="367">
        <f t="shared" si="4"/>
        <v>-0.4842443599080497</v>
      </c>
      <c r="H25" s="367"/>
      <c r="I25" s="367"/>
      <c r="J25" s="232"/>
    </row>
    <row r="26" spans="1:10" ht="16.5" x14ac:dyDescent="0.3">
      <c r="A26" s="467" t="s">
        <v>151</v>
      </c>
      <c r="B26" s="467"/>
      <c r="C26" s="131" t="s">
        <v>147</v>
      </c>
      <c r="D26" s="134">
        <v>70174</v>
      </c>
      <c r="E26" s="131" t="s">
        <v>147</v>
      </c>
      <c r="F26" s="134">
        <v>69802</v>
      </c>
      <c r="G26" s="367">
        <f>((F26-D26)/D26)</f>
        <v>-5.3011086727277907E-3</v>
      </c>
      <c r="H26" s="367"/>
      <c r="I26" s="367"/>
      <c r="J26" s="232"/>
    </row>
    <row r="27" spans="1:10" ht="16.5" x14ac:dyDescent="0.3">
      <c r="A27" s="467"/>
      <c r="B27" s="467"/>
      <c r="C27" s="131" t="s">
        <v>148</v>
      </c>
      <c r="D27" s="134">
        <v>62538</v>
      </c>
      <c r="E27" s="131" t="s">
        <v>148</v>
      </c>
      <c r="F27" s="135">
        <v>674</v>
      </c>
      <c r="G27" s="367">
        <f t="shared" si="4"/>
        <v>-0.98922255268796566</v>
      </c>
      <c r="H27" s="367"/>
      <c r="I27" s="367"/>
      <c r="J27" s="232"/>
    </row>
    <row r="28" spans="1:10" ht="16.5" x14ac:dyDescent="0.3">
      <c r="A28" s="467"/>
      <c r="B28" s="467"/>
      <c r="C28" s="131" t="s">
        <v>149</v>
      </c>
      <c r="D28" s="168">
        <v>121252</v>
      </c>
      <c r="E28" s="131" t="s">
        <v>149</v>
      </c>
      <c r="F28" s="134">
        <v>69197</v>
      </c>
      <c r="G28" s="367">
        <f>((F28-D28)/D28)</f>
        <v>-0.42931250618546496</v>
      </c>
      <c r="H28" s="367"/>
      <c r="I28" s="367"/>
      <c r="J28" s="232"/>
    </row>
    <row r="29" spans="1:10" ht="16.5" x14ac:dyDescent="0.3">
      <c r="A29" s="467"/>
      <c r="B29" s="467"/>
      <c r="C29" s="131" t="s">
        <v>187</v>
      </c>
      <c r="D29" s="168">
        <f>SUM(D26+D27+D28)</f>
        <v>253964</v>
      </c>
      <c r="E29" s="131" t="s">
        <v>187</v>
      </c>
      <c r="F29" s="168">
        <f>SUM(F26+F27+F28)</f>
        <v>139673</v>
      </c>
      <c r="G29" s="367">
        <f t="shared" si="4"/>
        <v>-0.45002835047487044</v>
      </c>
      <c r="H29" s="367"/>
      <c r="I29" s="367"/>
      <c r="J29" s="232"/>
    </row>
    <row r="30" spans="1:10" ht="16.5" x14ac:dyDescent="0.3">
      <c r="D30" s="169"/>
      <c r="F30" s="169"/>
      <c r="G30" s="172"/>
      <c r="H30" s="172"/>
      <c r="I30" s="172"/>
    </row>
    <row r="31" spans="1:10" ht="16.5" customHeight="1" x14ac:dyDescent="0.25">
      <c r="C31" s="471" t="s">
        <v>192</v>
      </c>
      <c r="D31" s="471"/>
      <c r="E31" s="471"/>
      <c r="F31" s="471"/>
      <c r="G31" s="471"/>
      <c r="H31" s="471"/>
      <c r="I31" s="471"/>
    </row>
    <row r="32" spans="1:10" ht="16.5" customHeight="1" x14ac:dyDescent="0.25">
      <c r="C32" s="471"/>
      <c r="D32" s="471"/>
      <c r="E32" s="471"/>
      <c r="F32" s="471"/>
      <c r="G32" s="471"/>
      <c r="H32" s="471"/>
      <c r="I32" s="471"/>
    </row>
    <row r="33" spans="1:9" ht="16.5" customHeight="1" x14ac:dyDescent="0.35">
      <c r="A33" s="360" t="s">
        <v>137</v>
      </c>
      <c r="B33" s="360" t="s">
        <v>152</v>
      </c>
      <c r="C33" s="366" t="s">
        <v>153</v>
      </c>
      <c r="D33" s="366"/>
      <c r="E33" s="366" t="s">
        <v>154</v>
      </c>
      <c r="F33" s="366"/>
      <c r="G33" s="450" t="s">
        <v>155</v>
      </c>
      <c r="H33" s="450"/>
      <c r="I33" s="450"/>
    </row>
    <row r="34" spans="1:9" ht="16.5" customHeight="1" x14ac:dyDescent="0.3">
      <c r="A34" s="466"/>
      <c r="B34" s="360"/>
      <c r="C34" s="130" t="s">
        <v>156</v>
      </c>
      <c r="D34" s="130" t="s">
        <v>157</v>
      </c>
      <c r="E34" s="130" t="s">
        <v>156</v>
      </c>
      <c r="F34" s="130" t="s">
        <v>157</v>
      </c>
      <c r="G34" s="130" t="s">
        <v>158</v>
      </c>
      <c r="H34" s="130" t="s">
        <v>159</v>
      </c>
      <c r="I34" s="130" t="s">
        <v>160</v>
      </c>
    </row>
    <row r="35" spans="1:9" ht="18.75" customHeight="1" x14ac:dyDescent="0.25">
      <c r="A35" s="468" t="s">
        <v>146</v>
      </c>
      <c r="B35" s="131" t="s">
        <v>161</v>
      </c>
      <c r="C35" s="131">
        <v>382351</v>
      </c>
      <c r="D35" s="131">
        <f t="shared" ref="D35:D42" si="5">C35/200000</f>
        <v>1.9117550000000001</v>
      </c>
      <c r="E35" s="131">
        <v>246963</v>
      </c>
      <c r="F35" s="131">
        <f>E35/200000</f>
        <v>1.234815</v>
      </c>
      <c r="G35" s="131">
        <f t="shared" ref="G35:G40" si="6">E35-C35</f>
        <v>-135388</v>
      </c>
      <c r="H35" s="131">
        <f>G35/200000</f>
        <v>-0.67693999999999999</v>
      </c>
      <c r="I35" s="138">
        <f>H35/D35</f>
        <v>-0.35409349001310314</v>
      </c>
    </row>
    <row r="36" spans="1:9" ht="16.5" customHeight="1" x14ac:dyDescent="0.25">
      <c r="A36" s="469"/>
      <c r="B36" s="131" t="s">
        <v>162</v>
      </c>
      <c r="C36" s="131">
        <v>62273</v>
      </c>
      <c r="D36" s="131">
        <f t="shared" si="5"/>
        <v>0.311365</v>
      </c>
      <c r="E36" s="131">
        <v>62272</v>
      </c>
      <c r="F36" s="131">
        <f t="shared" ref="F36:F47" si="7">E36/200000</f>
        <v>0.31136000000000003</v>
      </c>
      <c r="G36" s="131">
        <f t="shared" si="6"/>
        <v>-1</v>
      </c>
      <c r="H36" s="131">
        <f t="shared" ref="H36:H40" si="8">G36/200000</f>
        <v>-5.0000000000000004E-6</v>
      </c>
      <c r="I36" s="138">
        <f t="shared" ref="I36:I41" si="9">H36/D36</f>
        <v>-1.60583238321584E-5</v>
      </c>
    </row>
    <row r="37" spans="1:9" ht="16.5" customHeight="1" x14ac:dyDescent="0.25">
      <c r="A37" s="469"/>
      <c r="B37" s="131" t="s">
        <v>163</v>
      </c>
      <c r="C37" s="131">
        <v>533</v>
      </c>
      <c r="D37" s="131">
        <f t="shared" si="5"/>
        <v>2.6649999999999998E-3</v>
      </c>
      <c r="E37" s="131">
        <v>533</v>
      </c>
      <c r="F37" s="131">
        <f t="shared" si="7"/>
        <v>2.6649999999999998E-3</v>
      </c>
      <c r="G37" s="131">
        <f t="shared" si="6"/>
        <v>0</v>
      </c>
      <c r="H37" s="131">
        <f t="shared" si="8"/>
        <v>0</v>
      </c>
      <c r="I37" s="138">
        <f t="shared" si="9"/>
        <v>0</v>
      </c>
    </row>
    <row r="38" spans="1:9" ht="16.5" customHeight="1" x14ac:dyDescent="0.25">
      <c r="A38" s="469"/>
      <c r="B38" s="131" t="s">
        <v>164</v>
      </c>
      <c r="C38" s="131">
        <v>6280</v>
      </c>
      <c r="D38" s="131">
        <f t="shared" si="5"/>
        <v>3.1399999999999997E-2</v>
      </c>
      <c r="E38" s="131">
        <v>6280</v>
      </c>
      <c r="F38" s="131">
        <f t="shared" si="7"/>
        <v>3.1399999999999997E-2</v>
      </c>
      <c r="G38" s="131">
        <f t="shared" si="6"/>
        <v>0</v>
      </c>
      <c r="H38" s="131">
        <f t="shared" si="8"/>
        <v>0</v>
      </c>
      <c r="I38" s="138">
        <f t="shared" si="9"/>
        <v>0</v>
      </c>
    </row>
    <row r="39" spans="1:9" ht="18.75" customHeight="1" x14ac:dyDescent="0.25">
      <c r="A39" s="469"/>
      <c r="B39" s="131" t="s">
        <v>165</v>
      </c>
      <c r="C39" s="131">
        <v>1712</v>
      </c>
      <c r="D39" s="131">
        <f t="shared" si="5"/>
        <v>8.5599999999999999E-3</v>
      </c>
      <c r="E39" s="131">
        <v>1712</v>
      </c>
      <c r="F39" s="131">
        <f t="shared" si="7"/>
        <v>8.5599999999999999E-3</v>
      </c>
      <c r="G39" s="131">
        <f t="shared" si="6"/>
        <v>0</v>
      </c>
      <c r="H39" s="131">
        <f t="shared" si="8"/>
        <v>0</v>
      </c>
      <c r="I39" s="138">
        <f t="shared" si="9"/>
        <v>0</v>
      </c>
    </row>
    <row r="40" spans="1:9" ht="16.5" customHeight="1" x14ac:dyDescent="0.25">
      <c r="A40" s="469"/>
      <c r="B40" s="131" t="s">
        <v>193</v>
      </c>
      <c r="C40" s="131">
        <v>510</v>
      </c>
      <c r="D40" s="131">
        <f t="shared" si="5"/>
        <v>2.5500000000000002E-3</v>
      </c>
      <c r="E40" s="131">
        <v>510</v>
      </c>
      <c r="F40" s="131">
        <f t="shared" si="7"/>
        <v>2.5500000000000002E-3</v>
      </c>
      <c r="G40" s="131">
        <f t="shared" si="6"/>
        <v>0</v>
      </c>
      <c r="H40" s="131">
        <f t="shared" si="8"/>
        <v>0</v>
      </c>
      <c r="I40" s="138">
        <f t="shared" si="9"/>
        <v>0</v>
      </c>
    </row>
    <row r="41" spans="1:9" ht="16.5" customHeight="1" x14ac:dyDescent="0.25">
      <c r="A41" s="470"/>
      <c r="B41" s="132" t="s">
        <v>169</v>
      </c>
      <c r="C41" s="132">
        <f>SUM(C35:C40)</f>
        <v>453659</v>
      </c>
      <c r="D41" s="133">
        <f t="shared" si="5"/>
        <v>2.2682950000000002</v>
      </c>
      <c r="E41" s="132">
        <f>SUM(E35:E40)</f>
        <v>318270</v>
      </c>
      <c r="F41" s="133">
        <f>E41/200000</f>
        <v>1.59135</v>
      </c>
      <c r="G41" s="140">
        <f>SUM(G35:G40)</f>
        <v>-135389</v>
      </c>
      <c r="H41" s="140">
        <f>SUM(H35:H40)</f>
        <v>-0.67694500000000002</v>
      </c>
      <c r="I41" s="141">
        <f t="shared" si="9"/>
        <v>-0.29843781342373898</v>
      </c>
    </row>
    <row r="42" spans="1:9" ht="16.5" customHeight="1" x14ac:dyDescent="0.25">
      <c r="A42" s="472" t="s">
        <v>150</v>
      </c>
      <c r="B42" s="131" t="s">
        <v>161</v>
      </c>
      <c r="C42" s="131">
        <v>130174</v>
      </c>
      <c r="D42" s="131">
        <f t="shared" si="5"/>
        <v>0.65086999999999995</v>
      </c>
      <c r="E42" s="131">
        <v>8465</v>
      </c>
      <c r="F42" s="131">
        <f t="shared" si="7"/>
        <v>4.2325000000000002E-2</v>
      </c>
      <c r="G42" s="131">
        <f>E42-C42</f>
        <v>-121709</v>
      </c>
      <c r="H42" s="131">
        <f>G42/200000</f>
        <v>-0.608545</v>
      </c>
      <c r="I42" s="138">
        <f>H42/D42</f>
        <v>-0.93497165332554899</v>
      </c>
    </row>
    <row r="43" spans="1:9" ht="18.75" customHeight="1" x14ac:dyDescent="0.25">
      <c r="A43" s="473"/>
      <c r="B43" s="131" t="s">
        <v>171</v>
      </c>
      <c r="C43" s="131">
        <v>61810</v>
      </c>
      <c r="D43" s="131">
        <f t="shared" ref="D43:D47" si="10">C43/200000</f>
        <v>0.30904999999999999</v>
      </c>
      <c r="E43" s="131">
        <v>11525</v>
      </c>
      <c r="F43" s="131">
        <f t="shared" si="7"/>
        <v>5.7625000000000003E-2</v>
      </c>
      <c r="G43" s="131">
        <f t="shared" ref="G43:G47" si="11">E43-C43</f>
        <v>-50285</v>
      </c>
      <c r="H43" s="131">
        <f t="shared" ref="H43:H47" si="12">G43/200000</f>
        <v>-0.25142500000000001</v>
      </c>
      <c r="I43" s="138">
        <f t="shared" ref="I43:I48" si="13">H43/D43</f>
        <v>-0.81354149813945964</v>
      </c>
    </row>
    <row r="44" spans="1:9" ht="18.75" customHeight="1" x14ac:dyDescent="0.25">
      <c r="A44" s="473"/>
      <c r="B44" s="131" t="s">
        <v>194</v>
      </c>
      <c r="C44" s="131">
        <v>27692</v>
      </c>
      <c r="D44" s="131">
        <f t="shared" si="10"/>
        <v>0.13846</v>
      </c>
      <c r="E44" s="131">
        <v>8621</v>
      </c>
      <c r="F44" s="131">
        <f t="shared" si="7"/>
        <v>4.3104999999999997E-2</v>
      </c>
      <c r="G44" s="131">
        <f t="shared" si="11"/>
        <v>-19071</v>
      </c>
      <c r="H44" s="131">
        <f t="shared" si="12"/>
        <v>-9.5354999999999995E-2</v>
      </c>
      <c r="I44" s="138">
        <f t="shared" si="13"/>
        <v>-0.68868265202946699</v>
      </c>
    </row>
    <row r="45" spans="1:9" ht="15" customHeight="1" x14ac:dyDescent="0.25">
      <c r="A45" s="473"/>
      <c r="B45" s="131" t="s">
        <v>195</v>
      </c>
      <c r="C45" s="131">
        <v>103</v>
      </c>
      <c r="D45" s="131">
        <f t="shared" si="10"/>
        <v>5.1500000000000005E-4</v>
      </c>
      <c r="E45" s="131">
        <v>86</v>
      </c>
      <c r="F45" s="131">
        <f t="shared" si="7"/>
        <v>4.2999999999999999E-4</v>
      </c>
      <c r="G45" s="131">
        <f t="shared" si="11"/>
        <v>-17</v>
      </c>
      <c r="H45" s="131">
        <f t="shared" si="12"/>
        <v>-8.5000000000000006E-5</v>
      </c>
      <c r="I45" s="138">
        <f t="shared" si="13"/>
        <v>-0.16504854368932037</v>
      </c>
    </row>
    <row r="46" spans="1:9" ht="15" customHeight="1" x14ac:dyDescent="0.25">
      <c r="A46" s="473"/>
      <c r="B46" s="131" t="s">
        <v>196</v>
      </c>
      <c r="C46" s="131">
        <v>2175100</v>
      </c>
      <c r="D46" s="131">
        <f t="shared" si="10"/>
        <v>10.875500000000001</v>
      </c>
      <c r="E46" s="131">
        <v>2167050</v>
      </c>
      <c r="F46" s="131">
        <f t="shared" si="7"/>
        <v>10.83525</v>
      </c>
      <c r="G46" s="131">
        <f t="shared" si="11"/>
        <v>-8050</v>
      </c>
      <c r="H46" s="131">
        <f t="shared" si="12"/>
        <v>-4.0250000000000001E-2</v>
      </c>
      <c r="I46" s="138">
        <f t="shared" si="13"/>
        <v>-3.7009792653211345E-3</v>
      </c>
    </row>
    <row r="47" spans="1:9" x14ac:dyDescent="0.25">
      <c r="A47" s="473"/>
      <c r="B47" s="131" t="s">
        <v>197</v>
      </c>
      <c r="C47" s="131">
        <v>1209</v>
      </c>
      <c r="D47" s="131">
        <f t="shared" si="10"/>
        <v>6.045E-3</v>
      </c>
      <c r="E47" s="131">
        <v>902</v>
      </c>
      <c r="F47" s="131">
        <f t="shared" si="7"/>
        <v>4.5100000000000001E-3</v>
      </c>
      <c r="G47" s="131">
        <f t="shared" si="11"/>
        <v>-307</v>
      </c>
      <c r="H47" s="131">
        <f t="shared" si="12"/>
        <v>-1.5349999999999999E-3</v>
      </c>
      <c r="I47" s="138">
        <f t="shared" si="13"/>
        <v>-0.25392886683209265</v>
      </c>
    </row>
    <row r="48" spans="1:9" x14ac:dyDescent="0.25">
      <c r="A48" s="473"/>
      <c r="B48" s="132" t="s">
        <v>169</v>
      </c>
      <c r="C48" s="132">
        <f>SUM(C42:C47)</f>
        <v>2396088</v>
      </c>
      <c r="D48" s="133">
        <f>C48/200000</f>
        <v>11.98044</v>
      </c>
      <c r="E48" s="132">
        <f>SUM(E42:E47)</f>
        <v>2196649</v>
      </c>
      <c r="F48" s="133">
        <f>E48/200000</f>
        <v>10.983245</v>
      </c>
      <c r="G48" s="140">
        <f>SUM(G42:G47)</f>
        <v>-199439</v>
      </c>
      <c r="H48" s="140">
        <f>SUM(H42:H47)</f>
        <v>-0.99719499999999994</v>
      </c>
      <c r="I48" s="141">
        <f t="shared" si="13"/>
        <v>-8.3235256801920454E-2</v>
      </c>
    </row>
    <row r="49" spans="1:9" x14ac:dyDescent="0.25">
      <c r="A49" s="467" t="s">
        <v>151</v>
      </c>
      <c r="B49" s="131" t="s">
        <v>198</v>
      </c>
      <c r="C49" s="131">
        <v>382261</v>
      </c>
      <c r="D49" s="131">
        <f>C49/200000</f>
        <v>1.911305</v>
      </c>
      <c r="E49" s="131">
        <v>197725</v>
      </c>
      <c r="F49" s="131">
        <f>E49/200000</f>
        <v>0.98862499999999998</v>
      </c>
      <c r="G49" s="131">
        <f>E49-C49</f>
        <v>-184536</v>
      </c>
      <c r="H49" s="131">
        <f>G49/200000</f>
        <v>-0.92267999999999994</v>
      </c>
      <c r="I49" s="138">
        <f>H49/D49</f>
        <v>-0.48274869787919766</v>
      </c>
    </row>
    <row r="50" spans="1:9" x14ac:dyDescent="0.25">
      <c r="A50" s="467"/>
      <c r="B50" s="131" t="s">
        <v>162</v>
      </c>
      <c r="C50" s="131">
        <v>62280</v>
      </c>
      <c r="D50" s="131">
        <f t="shared" ref="D50:D54" si="14">C50/200000</f>
        <v>0.31140000000000001</v>
      </c>
      <c r="E50" s="131">
        <v>62282</v>
      </c>
      <c r="F50" s="131">
        <f t="shared" ref="F50:F54" si="15">E50/200000</f>
        <v>0.31141000000000002</v>
      </c>
      <c r="G50" s="131">
        <f t="shared" ref="G50:G54" si="16">E50-C50</f>
        <v>2</v>
      </c>
      <c r="H50" s="131">
        <f t="shared" ref="H50:H54" si="17">G50/200000</f>
        <v>1.0000000000000001E-5</v>
      </c>
      <c r="I50" s="138">
        <f t="shared" ref="I50:I54" si="18">H50/D50</f>
        <v>3.2113037893384715E-5</v>
      </c>
    </row>
    <row r="51" spans="1:9" x14ac:dyDescent="0.25">
      <c r="A51" s="467"/>
      <c r="B51" s="131" t="s">
        <v>199</v>
      </c>
      <c r="C51" s="131">
        <v>641</v>
      </c>
      <c r="D51" s="131">
        <f t="shared" si="14"/>
        <v>3.2049999999999999E-3</v>
      </c>
      <c r="E51" s="131">
        <v>641</v>
      </c>
      <c r="F51" s="131">
        <f t="shared" si="15"/>
        <v>3.2049999999999999E-3</v>
      </c>
      <c r="G51" s="131">
        <f t="shared" si="16"/>
        <v>0</v>
      </c>
      <c r="H51" s="131">
        <f t="shared" si="17"/>
        <v>0</v>
      </c>
      <c r="I51" s="138">
        <f t="shared" si="18"/>
        <v>0</v>
      </c>
    </row>
    <row r="52" spans="1:9" x14ac:dyDescent="0.25">
      <c r="A52" s="467"/>
      <c r="B52" s="131" t="s">
        <v>196</v>
      </c>
      <c r="C52" s="131">
        <v>523729</v>
      </c>
      <c r="D52" s="131">
        <f t="shared" si="14"/>
        <v>2.6186449999999999</v>
      </c>
      <c r="E52" s="131">
        <v>508254</v>
      </c>
      <c r="F52" s="131">
        <f t="shared" si="15"/>
        <v>2.5412699999999999</v>
      </c>
      <c r="G52" s="131">
        <f t="shared" si="16"/>
        <v>-15475</v>
      </c>
      <c r="H52" s="131">
        <f t="shared" si="17"/>
        <v>-7.7374999999999999E-2</v>
      </c>
      <c r="I52" s="138">
        <f t="shared" si="18"/>
        <v>-2.9547724109224429E-2</v>
      </c>
    </row>
    <row r="53" spans="1:9" x14ac:dyDescent="0.25">
      <c r="A53" s="467"/>
      <c r="B53" s="131" t="s">
        <v>168</v>
      </c>
      <c r="C53" s="131">
        <v>568</v>
      </c>
      <c r="D53" s="131">
        <f t="shared" si="14"/>
        <v>2.8400000000000001E-3</v>
      </c>
      <c r="E53" s="131">
        <v>568</v>
      </c>
      <c r="F53" s="131">
        <f t="shared" si="15"/>
        <v>2.8400000000000001E-3</v>
      </c>
      <c r="G53" s="131">
        <f t="shared" si="16"/>
        <v>0</v>
      </c>
      <c r="H53" s="131">
        <f t="shared" si="17"/>
        <v>0</v>
      </c>
      <c r="I53" s="138">
        <f t="shared" si="18"/>
        <v>0</v>
      </c>
    </row>
    <row r="54" spans="1:9" x14ac:dyDescent="0.25">
      <c r="A54" s="467"/>
      <c r="B54" s="131" t="s">
        <v>200</v>
      </c>
      <c r="C54" s="131">
        <v>19</v>
      </c>
      <c r="D54" s="131">
        <f t="shared" si="14"/>
        <v>9.5000000000000005E-5</v>
      </c>
      <c r="E54" s="131">
        <v>19</v>
      </c>
      <c r="F54" s="131">
        <f t="shared" si="15"/>
        <v>9.5000000000000005E-5</v>
      </c>
      <c r="G54" s="131">
        <f t="shared" si="16"/>
        <v>0</v>
      </c>
      <c r="H54" s="131">
        <f t="shared" si="17"/>
        <v>0</v>
      </c>
      <c r="I54" s="138">
        <f t="shared" si="18"/>
        <v>0</v>
      </c>
    </row>
    <row r="55" spans="1:9" x14ac:dyDescent="0.25">
      <c r="A55" s="467"/>
      <c r="B55" s="132" t="s">
        <v>169</v>
      </c>
      <c r="C55" s="132">
        <f>SUM(C49:C54)</f>
        <v>969498</v>
      </c>
      <c r="D55" s="133">
        <f>C55/200000</f>
        <v>4.8474899999999996</v>
      </c>
      <c r="E55" s="132">
        <f>SUM(E49:E54)</f>
        <v>769489</v>
      </c>
      <c r="F55" s="133">
        <f>E55/200000</f>
        <v>3.847445</v>
      </c>
      <c r="G55" s="140">
        <f>SUM(G49:G54)</f>
        <v>-200009</v>
      </c>
      <c r="H55" s="140">
        <f>SUM(H49:H54)</f>
        <v>-1.0000450000000001</v>
      </c>
      <c r="I55" s="141">
        <f t="shared" ref="I55" si="19">H55/D55</f>
        <v>-0.20630161176196343</v>
      </c>
    </row>
    <row r="58" spans="1:9" ht="21" customHeight="1" x14ac:dyDescent="0.25">
      <c r="B58" s="465" t="s">
        <v>266</v>
      </c>
      <c r="C58" s="465"/>
      <c r="D58" s="465"/>
      <c r="E58" s="465"/>
      <c r="F58" s="465"/>
      <c r="G58" s="465"/>
      <c r="H58" s="465"/>
    </row>
    <row r="59" spans="1:9" x14ac:dyDescent="0.25">
      <c r="B59" s="465"/>
      <c r="C59" s="465"/>
      <c r="D59" s="465"/>
      <c r="E59" s="465"/>
      <c r="F59" s="465"/>
      <c r="G59" s="465"/>
      <c r="H59" s="465"/>
    </row>
    <row r="60" spans="1:9" ht="21" x14ac:dyDescent="0.35">
      <c r="A60" s="360" t="s">
        <v>137</v>
      </c>
      <c r="B60" s="366" t="s">
        <v>201</v>
      </c>
      <c r="C60" s="366"/>
      <c r="D60" s="366" t="s">
        <v>202</v>
      </c>
      <c r="E60" s="366"/>
      <c r="F60" s="450" t="s">
        <v>203</v>
      </c>
      <c r="G60" s="450"/>
      <c r="H60" s="450"/>
    </row>
    <row r="61" spans="1:9" ht="18.75" x14ac:dyDescent="0.3">
      <c r="A61" s="466"/>
      <c r="B61" s="130" t="s">
        <v>156</v>
      </c>
      <c r="C61" s="130" t="s">
        <v>157</v>
      </c>
      <c r="D61" s="130" t="s">
        <v>156</v>
      </c>
      <c r="E61" s="130" t="s">
        <v>157</v>
      </c>
      <c r="F61" s="130" t="s">
        <v>158</v>
      </c>
      <c r="G61" s="130" t="s">
        <v>159</v>
      </c>
      <c r="H61" s="130" t="s">
        <v>160</v>
      </c>
    </row>
    <row r="62" spans="1:9" ht="15" customHeight="1" x14ac:dyDescent="0.25">
      <c r="A62" s="173" t="s">
        <v>146</v>
      </c>
      <c r="B62" s="131">
        <v>453659</v>
      </c>
      <c r="C62" s="131">
        <f>B62/200000</f>
        <v>2.2682950000000002</v>
      </c>
      <c r="D62" s="131">
        <v>195677</v>
      </c>
      <c r="E62" s="131">
        <f>D62/200000</f>
        <v>0.97838499999999995</v>
      </c>
      <c r="F62" s="140">
        <f>D62-B62</f>
        <v>-257982</v>
      </c>
      <c r="G62" s="140">
        <f>E62-C62</f>
        <v>-1.2899100000000003</v>
      </c>
      <c r="H62" s="141">
        <f>G62/C62</f>
        <v>-0.56866941910113111</v>
      </c>
    </row>
    <row r="63" spans="1:9" ht="15" customHeight="1" x14ac:dyDescent="0.25">
      <c r="A63" s="171" t="s">
        <v>150</v>
      </c>
      <c r="B63" s="131">
        <v>2396088</v>
      </c>
      <c r="C63" s="131">
        <f>B63/200000</f>
        <v>11.98044</v>
      </c>
      <c r="D63" s="131">
        <v>121296</v>
      </c>
      <c r="E63" s="131">
        <f t="shared" ref="E63:E64" si="20">D63/200000</f>
        <v>0.60648000000000002</v>
      </c>
      <c r="F63" s="140">
        <f t="shared" ref="F63:F64" si="21">D63-B63</f>
        <v>-2274792</v>
      </c>
      <c r="G63" s="140">
        <f t="shared" ref="G63:G64" si="22">E63-C63</f>
        <v>-11.37396</v>
      </c>
      <c r="H63" s="141">
        <f t="shared" ref="H63:H64" si="23">G63/C63</f>
        <v>-0.94937748530104071</v>
      </c>
    </row>
    <row r="64" spans="1:9" ht="15" customHeight="1" x14ac:dyDescent="0.25">
      <c r="A64" s="170" t="s">
        <v>151</v>
      </c>
      <c r="B64" s="131">
        <v>969498</v>
      </c>
      <c r="C64" s="131">
        <f>B64/200000</f>
        <v>4.8474899999999996</v>
      </c>
      <c r="D64" s="131">
        <v>555284</v>
      </c>
      <c r="E64" s="131">
        <f t="shared" si="20"/>
        <v>2.7764199999999999</v>
      </c>
      <c r="F64" s="140">
        <f t="shared" si="21"/>
        <v>-414214</v>
      </c>
      <c r="G64" s="140">
        <f t="shared" si="22"/>
        <v>-2.0710699999999997</v>
      </c>
      <c r="H64" s="141">
        <f t="shared" si="23"/>
        <v>-0.42724585300846413</v>
      </c>
    </row>
    <row r="65" spans="1:9" ht="15" customHeight="1" x14ac:dyDescent="0.25"/>
    <row r="66" spans="1:9" ht="15" customHeight="1" x14ac:dyDescent="0.25">
      <c r="B66" s="465" t="s">
        <v>265</v>
      </c>
      <c r="C66" s="465"/>
      <c r="D66" s="465"/>
      <c r="E66" s="465"/>
      <c r="F66" s="465"/>
      <c r="G66" s="465"/>
      <c r="H66" s="465"/>
    </row>
    <row r="67" spans="1:9" ht="15" customHeight="1" x14ac:dyDescent="0.25">
      <c r="B67" s="465"/>
      <c r="C67" s="465"/>
      <c r="D67" s="465"/>
      <c r="E67" s="465"/>
      <c r="F67" s="465"/>
      <c r="G67" s="465"/>
      <c r="H67" s="465"/>
    </row>
    <row r="68" spans="1:9" ht="15" customHeight="1" x14ac:dyDescent="0.35">
      <c r="A68" s="360" t="s">
        <v>137</v>
      </c>
      <c r="B68" s="366" t="s">
        <v>201</v>
      </c>
      <c r="C68" s="366"/>
      <c r="D68" s="366" t="s">
        <v>202</v>
      </c>
      <c r="E68" s="366"/>
      <c r="F68" s="450" t="s">
        <v>203</v>
      </c>
      <c r="G68" s="450"/>
      <c r="H68" s="450"/>
    </row>
    <row r="69" spans="1:9" ht="15" customHeight="1" x14ac:dyDescent="0.3">
      <c r="A69" s="466"/>
      <c r="B69" s="130" t="s">
        <v>156</v>
      </c>
      <c r="C69" s="130" t="s">
        <v>157</v>
      </c>
      <c r="D69" s="130" t="s">
        <v>156</v>
      </c>
      <c r="E69" s="130" t="s">
        <v>157</v>
      </c>
      <c r="F69" s="130" t="s">
        <v>158</v>
      </c>
      <c r="G69" s="130" t="s">
        <v>159</v>
      </c>
      <c r="H69" s="130" t="s">
        <v>160</v>
      </c>
    </row>
    <row r="70" spans="1:9" ht="15" customHeight="1" x14ac:dyDescent="0.25">
      <c r="A70" s="173" t="s">
        <v>146</v>
      </c>
      <c r="B70" s="131">
        <v>318270</v>
      </c>
      <c r="C70" s="131">
        <f>B70/200000</f>
        <v>1.59135</v>
      </c>
      <c r="D70" s="131">
        <v>143247</v>
      </c>
      <c r="E70" s="131">
        <f>D70/200000</f>
        <v>0.71623499999999996</v>
      </c>
      <c r="F70" s="140">
        <f>D70-B70</f>
        <v>-175023</v>
      </c>
      <c r="G70" s="140">
        <f>E70-C70</f>
        <v>-0.87511500000000009</v>
      </c>
      <c r="H70" s="141">
        <f>G70/C70</f>
        <v>-0.54991987934772368</v>
      </c>
    </row>
    <row r="71" spans="1:9" ht="18.75" x14ac:dyDescent="0.25">
      <c r="A71" s="171" t="s">
        <v>150</v>
      </c>
      <c r="B71" s="131">
        <v>2196649</v>
      </c>
      <c r="C71" s="131">
        <f>B71/200000</f>
        <v>10.983245</v>
      </c>
      <c r="D71" s="131">
        <v>101957</v>
      </c>
      <c r="E71" s="131">
        <f t="shared" ref="E71:E72" si="24">D71/200000</f>
        <v>0.50978500000000004</v>
      </c>
      <c r="F71" s="140">
        <f t="shared" ref="F71:F72" si="25">D71-B71</f>
        <v>-2094692</v>
      </c>
      <c r="G71" s="140">
        <f t="shared" ref="G71:G72" si="26">E71-C71</f>
        <v>-10.473459999999999</v>
      </c>
      <c r="H71" s="141">
        <f t="shared" ref="H71:H72" si="27">G71/C71</f>
        <v>-0.9535852109281</v>
      </c>
    </row>
    <row r="72" spans="1:9" ht="18.75" x14ac:dyDescent="0.25">
      <c r="A72" s="170" t="s">
        <v>151</v>
      </c>
      <c r="B72" s="131">
        <v>769489</v>
      </c>
      <c r="C72" s="131">
        <f>B72/200000</f>
        <v>3.847445</v>
      </c>
      <c r="D72" s="131">
        <v>448234</v>
      </c>
      <c r="E72" s="131">
        <f t="shared" si="24"/>
        <v>2.2411699999999999</v>
      </c>
      <c r="F72" s="140">
        <f t="shared" si="25"/>
        <v>-321255</v>
      </c>
      <c r="G72" s="140">
        <f t="shared" si="26"/>
        <v>-1.6062750000000001</v>
      </c>
      <c r="H72" s="141">
        <f t="shared" si="27"/>
        <v>-0.41749134815442457</v>
      </c>
    </row>
    <row r="74" spans="1:9" ht="18.75" x14ac:dyDescent="0.3">
      <c r="A74" s="360" t="s">
        <v>137</v>
      </c>
      <c r="B74" s="360"/>
      <c r="C74" s="366" t="s">
        <v>278</v>
      </c>
      <c r="D74" s="366"/>
      <c r="E74" s="366"/>
      <c r="F74" s="366"/>
      <c r="G74" s="360" t="s">
        <v>277</v>
      </c>
      <c r="H74" s="360"/>
      <c r="I74" s="360"/>
    </row>
    <row r="75" spans="1:9" ht="18.75" x14ac:dyDescent="0.3">
      <c r="A75" s="360"/>
      <c r="B75" s="360"/>
      <c r="C75" s="366" t="s">
        <v>190</v>
      </c>
      <c r="D75" s="366"/>
      <c r="E75" s="366" t="s">
        <v>191</v>
      </c>
      <c r="F75" s="366"/>
      <c r="G75" s="360"/>
      <c r="H75" s="360"/>
      <c r="I75" s="360"/>
    </row>
    <row r="76" spans="1:9" ht="16.5" customHeight="1" x14ac:dyDescent="0.3">
      <c r="A76" s="475" t="s">
        <v>146</v>
      </c>
      <c r="B76" s="475"/>
      <c r="C76" s="131" t="s">
        <v>147</v>
      </c>
      <c r="D76" s="134">
        <v>51098</v>
      </c>
      <c r="E76" s="131" t="s">
        <v>147</v>
      </c>
      <c r="F76" s="135">
        <v>51990</v>
      </c>
      <c r="G76" s="367">
        <f t="shared" ref="G76" si="28">((F76-D76)/D76)</f>
        <v>1.7456651923754354E-2</v>
      </c>
      <c r="H76" s="367"/>
      <c r="I76" s="367"/>
    </row>
    <row r="77" spans="1:9" ht="16.5" customHeight="1" x14ac:dyDescent="0.3">
      <c r="A77" s="475"/>
      <c r="B77" s="475"/>
      <c r="C77" s="131" t="s">
        <v>148</v>
      </c>
      <c r="D77" s="134">
        <v>10282</v>
      </c>
      <c r="E77" s="131" t="s">
        <v>148</v>
      </c>
      <c r="F77" s="135">
        <v>665</v>
      </c>
      <c r="G77" s="367">
        <f t="shared" ref="G77:G78" si="29">((F77-D77)/D77)</f>
        <v>-0.93532386695195491</v>
      </c>
      <c r="H77" s="367"/>
      <c r="I77" s="367"/>
    </row>
    <row r="78" spans="1:9" ht="16.5" customHeight="1" x14ac:dyDescent="0.3">
      <c r="A78" s="475"/>
      <c r="B78" s="475"/>
      <c r="C78" s="131" t="s">
        <v>149</v>
      </c>
      <c r="D78" s="168">
        <v>77896</v>
      </c>
      <c r="E78" s="131" t="s">
        <v>149</v>
      </c>
      <c r="F78" s="136">
        <v>36657</v>
      </c>
      <c r="G78" s="367">
        <f t="shared" si="29"/>
        <v>-0.52941100955119647</v>
      </c>
      <c r="H78" s="367"/>
      <c r="I78" s="367"/>
    </row>
    <row r="79" spans="1:9" ht="16.5" customHeight="1" x14ac:dyDescent="0.3">
      <c r="A79" s="475"/>
      <c r="B79" s="475"/>
      <c r="C79" s="131" t="s">
        <v>187</v>
      </c>
      <c r="D79" s="168">
        <f>SUM(D76+D77+D78)</f>
        <v>139276</v>
      </c>
      <c r="E79" s="131" t="s">
        <v>187</v>
      </c>
      <c r="F79" s="168">
        <f>SUM(F76+F77+F78)</f>
        <v>89312</v>
      </c>
      <c r="G79" s="367">
        <f t="shared" ref="G79:G90" si="30">((F79-D79)/D79)</f>
        <v>-0.35874091731525892</v>
      </c>
      <c r="H79" s="367"/>
      <c r="I79" s="367"/>
    </row>
    <row r="80" spans="1:9" ht="18.75" customHeight="1" x14ac:dyDescent="0.25">
      <c r="A80" s="475"/>
      <c r="B80" s="475"/>
      <c r="C80" s="131" t="s">
        <v>183</v>
      </c>
      <c r="D80" s="131">
        <v>1.59135</v>
      </c>
      <c r="E80" s="131" t="s">
        <v>183</v>
      </c>
      <c r="F80" s="131">
        <v>0.71623499999999996</v>
      </c>
      <c r="G80" s="367">
        <f t="shared" si="30"/>
        <v>-0.54991987934772368</v>
      </c>
      <c r="H80" s="367"/>
      <c r="I80" s="367"/>
    </row>
    <row r="81" spans="1:9" ht="16.5" customHeight="1" x14ac:dyDescent="0.3">
      <c r="A81" s="474" t="s">
        <v>150</v>
      </c>
      <c r="B81" s="474"/>
      <c r="C81" s="131" t="s">
        <v>147</v>
      </c>
      <c r="D81" s="134">
        <v>39466</v>
      </c>
      <c r="E81" s="131" t="s">
        <v>147</v>
      </c>
      <c r="F81" s="134">
        <v>32970</v>
      </c>
      <c r="G81" s="367">
        <f t="shared" si="30"/>
        <v>-0.16459737495565804</v>
      </c>
      <c r="H81" s="367"/>
      <c r="I81" s="367"/>
    </row>
    <row r="82" spans="1:9" ht="16.5" customHeight="1" x14ac:dyDescent="0.3">
      <c r="A82" s="474"/>
      <c r="B82" s="474"/>
      <c r="C82" s="131" t="s">
        <v>148</v>
      </c>
      <c r="D82" s="134">
        <v>5758</v>
      </c>
      <c r="E82" s="131" t="s">
        <v>148</v>
      </c>
      <c r="F82" s="135">
        <v>314</v>
      </c>
      <c r="G82" s="367">
        <f t="shared" si="30"/>
        <v>-0.9454671761028135</v>
      </c>
      <c r="H82" s="367"/>
      <c r="I82" s="367"/>
    </row>
    <row r="83" spans="1:9" ht="16.5" customHeight="1" x14ac:dyDescent="0.3">
      <c r="A83" s="474"/>
      <c r="B83" s="474"/>
      <c r="C83" s="131" t="s">
        <v>149</v>
      </c>
      <c r="D83" s="168">
        <v>53090</v>
      </c>
      <c r="E83" s="131" t="s">
        <v>149</v>
      </c>
      <c r="F83" s="134">
        <v>17422</v>
      </c>
      <c r="G83" s="367">
        <f t="shared" si="30"/>
        <v>-0.67184027123752121</v>
      </c>
      <c r="H83" s="367"/>
      <c r="I83" s="367"/>
    </row>
    <row r="84" spans="1:9" ht="16.5" customHeight="1" x14ac:dyDescent="0.3">
      <c r="A84" s="474"/>
      <c r="B84" s="474"/>
      <c r="C84" s="131" t="s">
        <v>187</v>
      </c>
      <c r="D84" s="168">
        <f>SUM(D81+D82+D83)</f>
        <v>98314</v>
      </c>
      <c r="E84" s="131" t="s">
        <v>187</v>
      </c>
      <c r="F84" s="168">
        <f>SUM(F81+F82+F83)</f>
        <v>50706</v>
      </c>
      <c r="G84" s="367">
        <f t="shared" si="30"/>
        <v>-0.4842443599080497</v>
      </c>
      <c r="H84" s="367"/>
      <c r="I84" s="367"/>
    </row>
    <row r="85" spans="1:9" ht="16.5" customHeight="1" x14ac:dyDescent="0.25">
      <c r="A85" s="474"/>
      <c r="B85" s="474"/>
      <c r="C85" s="131" t="s">
        <v>183</v>
      </c>
      <c r="D85" s="131">
        <v>10.983245</v>
      </c>
      <c r="E85" s="131" t="s">
        <v>183</v>
      </c>
      <c r="F85" s="131">
        <v>0.50978500000000004</v>
      </c>
      <c r="G85" s="367">
        <f t="shared" si="30"/>
        <v>-0.9535852109281</v>
      </c>
      <c r="H85" s="367"/>
      <c r="I85" s="367"/>
    </row>
    <row r="86" spans="1:9" ht="16.5" customHeight="1" x14ac:dyDescent="0.3">
      <c r="A86" s="467" t="s">
        <v>151</v>
      </c>
      <c r="B86" s="467"/>
      <c r="C86" s="131" t="s">
        <v>147</v>
      </c>
      <c r="D86" s="134">
        <v>70174</v>
      </c>
      <c r="E86" s="131" t="s">
        <v>147</v>
      </c>
      <c r="F86" s="134">
        <v>69802</v>
      </c>
      <c r="G86" s="367">
        <f t="shared" si="30"/>
        <v>-5.3011086727277907E-3</v>
      </c>
      <c r="H86" s="367"/>
      <c r="I86" s="367"/>
    </row>
    <row r="87" spans="1:9" ht="16.5" customHeight="1" x14ac:dyDescent="0.3">
      <c r="A87" s="467"/>
      <c r="B87" s="467"/>
      <c r="C87" s="131" t="s">
        <v>148</v>
      </c>
      <c r="D87" s="134">
        <v>62538</v>
      </c>
      <c r="E87" s="131" t="s">
        <v>148</v>
      </c>
      <c r="F87" s="135">
        <v>674</v>
      </c>
      <c r="G87" s="367">
        <f t="shared" si="30"/>
        <v>-0.98922255268796566</v>
      </c>
      <c r="H87" s="367"/>
      <c r="I87" s="367"/>
    </row>
    <row r="88" spans="1:9" ht="16.5" customHeight="1" x14ac:dyDescent="0.3">
      <c r="A88" s="467"/>
      <c r="B88" s="467"/>
      <c r="C88" s="131" t="s">
        <v>149</v>
      </c>
      <c r="D88" s="168">
        <v>121252</v>
      </c>
      <c r="E88" s="131" t="s">
        <v>149</v>
      </c>
      <c r="F88" s="134">
        <v>69197</v>
      </c>
      <c r="G88" s="367">
        <f t="shared" si="30"/>
        <v>-0.42931250618546496</v>
      </c>
      <c r="H88" s="367"/>
      <c r="I88" s="367"/>
    </row>
    <row r="89" spans="1:9" ht="16.5" customHeight="1" x14ac:dyDescent="0.3">
      <c r="A89" s="467"/>
      <c r="B89" s="467"/>
      <c r="C89" s="131" t="s">
        <v>187</v>
      </c>
      <c r="D89" s="168">
        <f>SUM(D86+D87+D88)</f>
        <v>253964</v>
      </c>
      <c r="E89" s="131" t="s">
        <v>187</v>
      </c>
      <c r="F89" s="168">
        <f>SUM(F86+F87+F88)</f>
        <v>139673</v>
      </c>
      <c r="G89" s="367">
        <f t="shared" si="30"/>
        <v>-0.45002835047487044</v>
      </c>
      <c r="H89" s="367"/>
      <c r="I89" s="367"/>
    </row>
    <row r="90" spans="1:9" ht="18.75" customHeight="1" x14ac:dyDescent="0.25">
      <c r="A90" s="467"/>
      <c r="B90" s="467"/>
      <c r="C90" s="131" t="s">
        <v>183</v>
      </c>
      <c r="D90" s="131">
        <v>3.847445</v>
      </c>
      <c r="E90" s="131" t="s">
        <v>183</v>
      </c>
      <c r="F90" s="131">
        <v>2.2411699999999999</v>
      </c>
      <c r="G90" s="367">
        <f t="shared" si="30"/>
        <v>-0.41749134815442457</v>
      </c>
      <c r="H90" s="367"/>
      <c r="I90" s="367"/>
    </row>
  </sheetData>
  <mergeCells count="83">
    <mergeCell ref="G80:I80"/>
    <mergeCell ref="A81:B85"/>
    <mergeCell ref="A76:B80"/>
    <mergeCell ref="A86:B90"/>
    <mergeCell ref="G85:I85"/>
    <mergeCell ref="G90:I90"/>
    <mergeCell ref="G86:I86"/>
    <mergeCell ref="G87:I87"/>
    <mergeCell ref="G88:I88"/>
    <mergeCell ref="G89:I89"/>
    <mergeCell ref="G81:I81"/>
    <mergeCell ref="G82:I82"/>
    <mergeCell ref="G83:I83"/>
    <mergeCell ref="G84:I84"/>
    <mergeCell ref="G76:I76"/>
    <mergeCell ref="G77:I77"/>
    <mergeCell ref="G78:I78"/>
    <mergeCell ref="G79:I79"/>
    <mergeCell ref="A74:B75"/>
    <mergeCell ref="C74:F74"/>
    <mergeCell ref="G74:I75"/>
    <mergeCell ref="C75:D75"/>
    <mergeCell ref="E75:F75"/>
    <mergeCell ref="F60:H60"/>
    <mergeCell ref="B58:H59"/>
    <mergeCell ref="B60:C60"/>
    <mergeCell ref="D60:E60"/>
    <mergeCell ref="A42:A48"/>
    <mergeCell ref="A49:A55"/>
    <mergeCell ref="A60:A61"/>
    <mergeCell ref="G1:I2"/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24:I24"/>
    <mergeCell ref="G25:I25"/>
    <mergeCell ref="G16:I17"/>
    <mergeCell ref="G18:I18"/>
    <mergeCell ref="G19:I19"/>
    <mergeCell ref="G20:I20"/>
    <mergeCell ref="G21:I21"/>
    <mergeCell ref="A26:B29"/>
    <mergeCell ref="A18:B21"/>
    <mergeCell ref="A22:B25"/>
    <mergeCell ref="A35:A41"/>
    <mergeCell ref="G29:I29"/>
    <mergeCell ref="E33:F33"/>
    <mergeCell ref="G33:I33"/>
    <mergeCell ref="A33:A34"/>
    <mergeCell ref="B33:B34"/>
    <mergeCell ref="C33:D33"/>
    <mergeCell ref="C31:I32"/>
    <mergeCell ref="G26:I26"/>
    <mergeCell ref="G27:I27"/>
    <mergeCell ref="G28:I28"/>
    <mergeCell ref="G22:I22"/>
    <mergeCell ref="G23:I23"/>
    <mergeCell ref="A1:B2"/>
    <mergeCell ref="C1:D1"/>
    <mergeCell ref="E1:F1"/>
    <mergeCell ref="C2:D2"/>
    <mergeCell ref="E2:F2"/>
    <mergeCell ref="A11:B14"/>
    <mergeCell ref="A3:B6"/>
    <mergeCell ref="A7:B10"/>
    <mergeCell ref="A16:B17"/>
    <mergeCell ref="C17:D17"/>
    <mergeCell ref="C16:F16"/>
    <mergeCell ref="E17:F17"/>
    <mergeCell ref="B66:H67"/>
    <mergeCell ref="A68:A69"/>
    <mergeCell ref="B68:C68"/>
    <mergeCell ref="D68:E68"/>
    <mergeCell ref="F68:H68"/>
  </mergeCells>
  <conditionalFormatting sqref="F62:H64">
    <cfRule type="cellIs" dxfId="65" priority="5" stopIfTrue="1" operator="lessThan">
      <formula>0</formula>
    </cfRule>
    <cfRule type="cellIs" dxfId="64" priority="6" stopIfTrue="1" operator="greaterThan">
      <formula>0</formula>
    </cfRule>
  </conditionalFormatting>
  <conditionalFormatting sqref="F70:H72">
    <cfRule type="cellIs" dxfId="63" priority="3" stopIfTrue="1" operator="lessThan">
      <formula>0</formula>
    </cfRule>
    <cfRule type="cellIs" dxfId="62" priority="4" stopIfTrue="1" operator="greaterThan">
      <formula>0</formula>
    </cfRule>
  </conditionalFormatting>
  <conditionalFormatting sqref="G3:G14">
    <cfRule type="cellIs" dxfId="61" priority="51" operator="lessThan">
      <formula>0</formula>
    </cfRule>
    <cfRule type="cellIs" dxfId="60" priority="52" operator="greaterThan">
      <formula>0</formula>
    </cfRule>
  </conditionalFormatting>
  <conditionalFormatting sqref="G18:G30">
    <cfRule type="cellIs" dxfId="59" priority="45" operator="lessThan">
      <formula>0</formula>
    </cfRule>
    <cfRule type="cellIs" dxfId="58" priority="46" operator="greaterThan">
      <formula>0</formula>
    </cfRule>
  </conditionalFormatting>
  <conditionalFormatting sqref="G76:G90">
    <cfRule type="cellIs" dxfId="57" priority="1" operator="lessThan">
      <formula>0</formula>
    </cfRule>
    <cfRule type="cellIs" dxfId="56" priority="2" operator="greaterThan">
      <formula>0</formula>
    </cfRule>
  </conditionalFormatting>
  <conditionalFormatting sqref="G35:I55">
    <cfRule type="cellIs" dxfId="55" priority="9" stopIfTrue="1" operator="lessThan">
      <formula>0</formula>
    </cfRule>
    <cfRule type="cellIs" dxfId="54" priority="10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AEC1-5DAD-4207-884E-452389CABF58}">
  <dimension ref="A1:I84"/>
  <sheetViews>
    <sheetView zoomScaleNormal="100" workbookViewId="0">
      <selection activeCell="C18" sqref="C18"/>
    </sheetView>
  </sheetViews>
  <sheetFormatPr defaultRowHeight="15" x14ac:dyDescent="0.25"/>
  <cols>
    <col min="1" max="1" width="20.28515625" customWidth="1"/>
    <col min="2" max="2" width="16.5703125" customWidth="1"/>
    <col min="3" max="3" width="72.42578125" customWidth="1"/>
    <col min="4" max="4" width="13.85546875" customWidth="1"/>
    <col min="5" max="6" width="15.5703125" customWidth="1"/>
    <col min="7" max="7" width="13.140625" customWidth="1"/>
    <col min="8" max="8" width="15.42578125" customWidth="1"/>
    <col min="9" max="9" width="13.140625" customWidth="1"/>
  </cols>
  <sheetData>
    <row r="1" spans="1:9" ht="18.75" x14ac:dyDescent="0.3">
      <c r="D1" s="480" t="s">
        <v>204</v>
      </c>
      <c r="E1" s="480"/>
      <c r="F1" s="480"/>
      <c r="G1" s="480"/>
      <c r="H1" s="480"/>
      <c r="I1" s="480"/>
    </row>
    <row r="2" spans="1:9" ht="18.75" x14ac:dyDescent="0.3">
      <c r="D2" s="481" t="s">
        <v>205</v>
      </c>
      <c r="E2" s="481"/>
      <c r="F2" s="481"/>
      <c r="G2" s="482" t="s">
        <v>206</v>
      </c>
      <c r="H2" s="482"/>
      <c r="I2" s="482"/>
    </row>
    <row r="3" spans="1:9" ht="18.75" x14ac:dyDescent="0.3">
      <c r="D3" s="174" t="s">
        <v>150</v>
      </c>
      <c r="E3" s="175" t="s">
        <v>146</v>
      </c>
      <c r="F3" s="176" t="s">
        <v>151</v>
      </c>
      <c r="G3" s="174" t="s">
        <v>150</v>
      </c>
      <c r="H3" s="175" t="s">
        <v>146</v>
      </c>
      <c r="I3" s="176" t="s">
        <v>151</v>
      </c>
    </row>
    <row r="4" spans="1:9" x14ac:dyDescent="0.25">
      <c r="A4" s="58"/>
      <c r="B4" s="476" t="s">
        <v>31</v>
      </c>
      <c r="C4" s="178" t="s">
        <v>207</v>
      </c>
      <c r="D4" s="137" t="s">
        <v>33</v>
      </c>
      <c r="E4" s="137" t="s">
        <v>33</v>
      </c>
      <c r="F4" s="137" t="s">
        <v>33</v>
      </c>
      <c r="G4" s="137" t="s">
        <v>33</v>
      </c>
      <c r="H4" s="137" t="s">
        <v>33</v>
      </c>
      <c r="I4" s="137" t="s">
        <v>33</v>
      </c>
    </row>
    <row r="5" spans="1:9" x14ac:dyDescent="0.25">
      <c r="A5" s="58"/>
      <c r="B5" s="476"/>
      <c r="C5" s="178" t="s">
        <v>34</v>
      </c>
      <c r="D5" s="137" t="s">
        <v>33</v>
      </c>
      <c r="E5" s="137" t="s">
        <v>33</v>
      </c>
      <c r="F5" s="137" t="s">
        <v>33</v>
      </c>
      <c r="G5" s="137" t="s">
        <v>33</v>
      </c>
      <c r="H5" s="137" t="s">
        <v>33</v>
      </c>
      <c r="I5" s="137" t="s">
        <v>33</v>
      </c>
    </row>
    <row r="6" spans="1:9" x14ac:dyDescent="0.25">
      <c r="A6" s="58"/>
      <c r="B6" s="476"/>
      <c r="C6" s="178" t="s">
        <v>35</v>
      </c>
      <c r="D6" s="137" t="s">
        <v>33</v>
      </c>
      <c r="E6" s="137" t="s">
        <v>33</v>
      </c>
      <c r="F6" s="137" t="s">
        <v>33</v>
      </c>
      <c r="G6" s="137" t="s">
        <v>33</v>
      </c>
      <c r="H6" s="137" t="s">
        <v>33</v>
      </c>
      <c r="I6" s="137" t="s">
        <v>33</v>
      </c>
    </row>
    <row r="7" spans="1:9" x14ac:dyDescent="0.25">
      <c r="A7" s="58"/>
      <c r="B7" s="476"/>
      <c r="C7" s="178" t="s">
        <v>37</v>
      </c>
      <c r="D7" s="137" t="s">
        <v>33</v>
      </c>
      <c r="E7" s="137" t="s">
        <v>33</v>
      </c>
      <c r="F7" s="137" t="s">
        <v>33</v>
      </c>
      <c r="G7" s="137" t="s">
        <v>33</v>
      </c>
      <c r="H7" s="137" t="s">
        <v>33</v>
      </c>
      <c r="I7" s="137" t="s">
        <v>33</v>
      </c>
    </row>
    <row r="8" spans="1:9" x14ac:dyDescent="0.25">
      <c r="A8" s="58"/>
      <c r="B8" s="476"/>
      <c r="C8" s="178" t="s">
        <v>38</v>
      </c>
      <c r="D8" s="137" t="s">
        <v>33</v>
      </c>
      <c r="E8" s="137" t="s">
        <v>33</v>
      </c>
      <c r="F8" s="137" t="s">
        <v>33</v>
      </c>
      <c r="G8" s="137" t="s">
        <v>33</v>
      </c>
      <c r="H8" s="137" t="s">
        <v>33</v>
      </c>
      <c r="I8" s="137" t="s">
        <v>33</v>
      </c>
    </row>
    <row r="9" spans="1:9" x14ac:dyDescent="0.25">
      <c r="A9" s="58"/>
      <c r="B9" s="476"/>
      <c r="C9" s="178" t="s">
        <v>39</v>
      </c>
      <c r="D9" s="137" t="s">
        <v>33</v>
      </c>
      <c r="E9" s="137" t="s">
        <v>33</v>
      </c>
      <c r="F9" s="137" t="s">
        <v>33</v>
      </c>
      <c r="G9" s="137" t="s">
        <v>33</v>
      </c>
      <c r="H9" s="137" t="s">
        <v>33</v>
      </c>
      <c r="I9" s="137" t="s">
        <v>33</v>
      </c>
    </row>
    <row r="10" spans="1:9" x14ac:dyDescent="0.25">
      <c r="A10" s="58"/>
      <c r="B10" s="476"/>
      <c r="C10" s="178" t="s">
        <v>40</v>
      </c>
      <c r="D10" s="137" t="s">
        <v>33</v>
      </c>
      <c r="E10" s="137" t="s">
        <v>33</v>
      </c>
      <c r="F10" s="137" t="s">
        <v>33</v>
      </c>
      <c r="G10" s="137" t="s">
        <v>33</v>
      </c>
      <c r="H10" s="137" t="s">
        <v>33</v>
      </c>
      <c r="I10" s="137" t="s">
        <v>33</v>
      </c>
    </row>
    <row r="11" spans="1:9" x14ac:dyDescent="0.25">
      <c r="A11" s="58"/>
      <c r="B11" s="476"/>
      <c r="C11" s="178" t="s">
        <v>41</v>
      </c>
      <c r="D11" s="137" t="s">
        <v>33</v>
      </c>
      <c r="E11" s="137" t="s">
        <v>33</v>
      </c>
      <c r="F11" s="137" t="s">
        <v>33</v>
      </c>
      <c r="G11" s="137" t="s">
        <v>33</v>
      </c>
      <c r="H11" s="137" t="s">
        <v>33</v>
      </c>
      <c r="I11" s="137" t="s">
        <v>33</v>
      </c>
    </row>
    <row r="12" spans="1:9" x14ac:dyDescent="0.25">
      <c r="A12" s="58"/>
      <c r="B12" s="476"/>
      <c r="C12" s="178" t="s">
        <v>43</v>
      </c>
      <c r="D12" s="137" t="s">
        <v>44</v>
      </c>
      <c r="E12" s="137" t="s">
        <v>44</v>
      </c>
      <c r="F12" s="137" t="s">
        <v>44</v>
      </c>
      <c r="G12" s="137" t="s">
        <v>44</v>
      </c>
      <c r="H12" s="137" t="s">
        <v>44</v>
      </c>
      <c r="I12" s="137" t="s">
        <v>44</v>
      </c>
    </row>
    <row r="13" spans="1:9" x14ac:dyDescent="0.25">
      <c r="A13" s="58"/>
      <c r="B13" s="476"/>
      <c r="C13" s="178" t="s">
        <v>45</v>
      </c>
      <c r="D13" s="137">
        <v>100</v>
      </c>
      <c r="E13" s="137">
        <v>100</v>
      </c>
      <c r="F13" s="137">
        <v>100</v>
      </c>
      <c r="G13" s="137">
        <v>100</v>
      </c>
      <c r="H13" s="137">
        <v>100</v>
      </c>
      <c r="I13" s="137">
        <v>100</v>
      </c>
    </row>
    <row r="14" spans="1:9" x14ac:dyDescent="0.25">
      <c r="A14" s="58"/>
      <c r="B14" s="476"/>
      <c r="C14" s="178" t="s">
        <v>46</v>
      </c>
      <c r="D14" s="137">
        <v>10000</v>
      </c>
      <c r="E14" s="137">
        <v>10000</v>
      </c>
      <c r="F14" s="137">
        <v>10000</v>
      </c>
      <c r="G14" s="137">
        <v>10000</v>
      </c>
      <c r="H14" s="137">
        <v>10000</v>
      </c>
      <c r="I14" s="137">
        <v>10000</v>
      </c>
    </row>
    <row r="15" spans="1:9" x14ac:dyDescent="0.25">
      <c r="A15" s="58"/>
      <c r="B15" s="476"/>
      <c r="C15" s="178" t="s">
        <v>47</v>
      </c>
      <c r="D15" s="137">
        <v>50000</v>
      </c>
      <c r="E15" s="137">
        <v>50000</v>
      </c>
      <c r="F15" s="137">
        <v>50000</v>
      </c>
      <c r="G15" s="137">
        <v>50000</v>
      </c>
      <c r="H15" s="137">
        <v>50000</v>
      </c>
      <c r="I15" s="137">
        <v>50000</v>
      </c>
    </row>
    <row r="16" spans="1:9" x14ac:dyDescent="0.25">
      <c r="A16" s="58"/>
      <c r="B16" s="476"/>
      <c r="C16" s="178" t="s">
        <v>48</v>
      </c>
      <c r="D16" s="137" t="s">
        <v>33</v>
      </c>
      <c r="E16" s="137" t="s">
        <v>33</v>
      </c>
      <c r="F16" s="137" t="s">
        <v>33</v>
      </c>
      <c r="G16" s="137" t="s">
        <v>33</v>
      </c>
      <c r="H16" s="137" t="s">
        <v>33</v>
      </c>
      <c r="I16" s="137" t="s">
        <v>33</v>
      </c>
    </row>
    <row r="17" spans="1:9" x14ac:dyDescent="0.25">
      <c r="A17" s="58"/>
      <c r="B17" s="476"/>
      <c r="C17" s="178" t="s">
        <v>49</v>
      </c>
      <c r="D17" s="137" t="s">
        <v>33</v>
      </c>
      <c r="E17" s="137" t="s">
        <v>33</v>
      </c>
      <c r="F17" s="137" t="s">
        <v>33</v>
      </c>
      <c r="G17" s="137" t="s">
        <v>33</v>
      </c>
      <c r="H17" s="137" t="s">
        <v>33</v>
      </c>
      <c r="I17" s="137" t="s">
        <v>33</v>
      </c>
    </row>
    <row r="18" spans="1:9" x14ac:dyDescent="0.25">
      <c r="A18" s="58"/>
      <c r="B18" s="166" t="s">
        <v>50</v>
      </c>
      <c r="C18" s="178" t="s">
        <v>51</v>
      </c>
      <c r="D18" s="137" t="s">
        <v>33</v>
      </c>
      <c r="E18" s="137" t="s">
        <v>33</v>
      </c>
      <c r="F18" s="137" t="s">
        <v>33</v>
      </c>
      <c r="G18" s="137" t="s">
        <v>33</v>
      </c>
      <c r="H18" s="137" t="s">
        <v>33</v>
      </c>
      <c r="I18" s="137" t="s">
        <v>33</v>
      </c>
    </row>
    <row r="19" spans="1:9" x14ac:dyDescent="0.25">
      <c r="A19" s="58"/>
      <c r="B19" s="476" t="s">
        <v>52</v>
      </c>
      <c r="C19" s="178" t="s">
        <v>53</v>
      </c>
      <c r="D19" s="137" t="s">
        <v>33</v>
      </c>
      <c r="E19" s="137" t="s">
        <v>42</v>
      </c>
      <c r="F19" s="137" t="s">
        <v>42</v>
      </c>
      <c r="G19" s="137" t="s">
        <v>33</v>
      </c>
      <c r="H19" s="137" t="s">
        <v>42</v>
      </c>
      <c r="I19" s="137" t="s">
        <v>42</v>
      </c>
    </row>
    <row r="20" spans="1:9" x14ac:dyDescent="0.25">
      <c r="A20" s="58"/>
      <c r="B20" s="476"/>
      <c r="C20" s="178" t="s">
        <v>54</v>
      </c>
      <c r="D20" s="137">
        <v>512</v>
      </c>
      <c r="E20" s="137">
        <v>1024</v>
      </c>
      <c r="F20" s="137" t="s">
        <v>208</v>
      </c>
      <c r="G20" s="137">
        <v>512</v>
      </c>
      <c r="H20" s="185">
        <v>1536</v>
      </c>
      <c r="I20" s="137" t="s">
        <v>208</v>
      </c>
    </row>
    <row r="21" spans="1:9" x14ac:dyDescent="0.25">
      <c r="A21" s="58"/>
      <c r="B21" s="476"/>
      <c r="C21" s="178" t="s">
        <v>55</v>
      </c>
      <c r="D21" s="137">
        <v>128</v>
      </c>
      <c r="E21" s="137">
        <v>1024</v>
      </c>
      <c r="F21" s="137" t="s">
        <v>209</v>
      </c>
      <c r="G21" s="137">
        <v>128</v>
      </c>
      <c r="H21" s="137">
        <v>1024</v>
      </c>
      <c r="I21" s="137" t="s">
        <v>209</v>
      </c>
    </row>
    <row r="22" spans="1:9" x14ac:dyDescent="0.25">
      <c r="A22" s="58"/>
      <c r="B22" s="476"/>
      <c r="C22" s="178" t="s">
        <v>56</v>
      </c>
      <c r="D22" s="137" t="s">
        <v>33</v>
      </c>
      <c r="E22" s="137" t="s">
        <v>33</v>
      </c>
      <c r="F22" s="137" t="s">
        <v>33</v>
      </c>
      <c r="G22" s="137" t="s">
        <v>33</v>
      </c>
      <c r="H22" s="137" t="s">
        <v>33</v>
      </c>
      <c r="I22" s="137" t="s">
        <v>33</v>
      </c>
    </row>
    <row r="23" spans="1:9" x14ac:dyDescent="0.25">
      <c r="A23" s="58"/>
      <c r="B23" s="476"/>
      <c r="C23" s="178" t="s">
        <v>57</v>
      </c>
      <c r="D23" s="137">
        <v>1</v>
      </c>
      <c r="E23" s="137">
        <v>1</v>
      </c>
      <c r="F23" s="137">
        <v>2</v>
      </c>
      <c r="G23" s="137">
        <v>1</v>
      </c>
      <c r="H23" s="137">
        <v>1</v>
      </c>
      <c r="I23" s="137">
        <v>2</v>
      </c>
    </row>
    <row r="24" spans="1:9" x14ac:dyDescent="0.25">
      <c r="A24" s="58"/>
      <c r="B24" s="476"/>
      <c r="C24" s="178" t="s">
        <v>58</v>
      </c>
      <c r="D24" s="137">
        <v>1024</v>
      </c>
      <c r="E24" s="137">
        <v>1024</v>
      </c>
      <c r="F24" s="137" t="s">
        <v>209</v>
      </c>
      <c r="G24" s="137">
        <v>1024</v>
      </c>
      <c r="H24" s="137">
        <v>1024</v>
      </c>
      <c r="I24" s="137" t="s">
        <v>209</v>
      </c>
    </row>
    <row r="25" spans="1:9" x14ac:dyDescent="0.25">
      <c r="A25" s="58"/>
      <c r="B25" s="476"/>
      <c r="C25" s="178" t="s">
        <v>59</v>
      </c>
      <c r="D25" s="137">
        <v>1</v>
      </c>
      <c r="E25" s="137">
        <v>1</v>
      </c>
      <c r="F25" s="137">
        <v>1</v>
      </c>
      <c r="G25" s="137">
        <v>1</v>
      </c>
      <c r="H25" s="137">
        <v>1</v>
      </c>
      <c r="I25" s="137">
        <v>1</v>
      </c>
    </row>
    <row r="26" spans="1:9" x14ac:dyDescent="0.25">
      <c r="A26" s="58"/>
      <c r="B26" s="476"/>
      <c r="C26" s="178" t="s">
        <v>60</v>
      </c>
      <c r="D26" s="137">
        <v>1</v>
      </c>
      <c r="E26" s="137">
        <v>1</v>
      </c>
      <c r="F26" s="137">
        <v>2</v>
      </c>
      <c r="G26" s="137">
        <v>1</v>
      </c>
      <c r="H26" s="185">
        <v>2</v>
      </c>
      <c r="I26" s="137">
        <v>2</v>
      </c>
    </row>
    <row r="27" spans="1:9" x14ac:dyDescent="0.25">
      <c r="A27" s="58"/>
      <c r="B27" s="476"/>
      <c r="C27" s="178" t="s">
        <v>61</v>
      </c>
      <c r="D27" s="137">
        <v>1</v>
      </c>
      <c r="E27" s="137">
        <v>1</v>
      </c>
      <c r="F27" s="137">
        <v>8</v>
      </c>
      <c r="G27" s="137">
        <v>1</v>
      </c>
      <c r="H27" s="137">
        <v>1</v>
      </c>
      <c r="I27" s="137">
        <v>8</v>
      </c>
    </row>
    <row r="28" spans="1:9" x14ac:dyDescent="0.25">
      <c r="A28" s="58"/>
      <c r="B28" s="476"/>
      <c r="C28" s="178" t="s">
        <v>62</v>
      </c>
      <c r="D28" s="137">
        <v>4</v>
      </c>
      <c r="E28" s="137">
        <v>3</v>
      </c>
      <c r="F28" s="137">
        <v>80</v>
      </c>
      <c r="G28" s="137">
        <v>4</v>
      </c>
      <c r="H28" s="185">
        <v>24</v>
      </c>
      <c r="I28" s="137">
        <v>80</v>
      </c>
    </row>
    <row r="29" spans="1:9" x14ac:dyDescent="0.25">
      <c r="A29" s="58"/>
      <c r="B29" s="476"/>
      <c r="C29" s="178" t="s">
        <v>63</v>
      </c>
      <c r="D29" s="137">
        <v>1</v>
      </c>
      <c r="E29" s="137">
        <v>1</v>
      </c>
      <c r="F29" s="137">
        <v>32</v>
      </c>
      <c r="G29" s="137">
        <v>1</v>
      </c>
      <c r="H29" s="185">
        <v>16</v>
      </c>
      <c r="I29" s="137">
        <v>32</v>
      </c>
    </row>
    <row r="30" spans="1:9" x14ac:dyDescent="0.25">
      <c r="A30" s="58"/>
      <c r="B30" s="476"/>
      <c r="C30" s="178" t="s">
        <v>64</v>
      </c>
      <c r="D30" s="137">
        <v>2</v>
      </c>
      <c r="E30" s="137">
        <v>2</v>
      </c>
      <c r="F30" s="137">
        <v>2</v>
      </c>
      <c r="G30" s="137">
        <v>2</v>
      </c>
      <c r="H30" s="137">
        <v>2</v>
      </c>
      <c r="I30" s="137">
        <v>2</v>
      </c>
    </row>
    <row r="31" spans="1:9" x14ac:dyDescent="0.25">
      <c r="A31" s="58"/>
      <c r="B31" s="476"/>
      <c r="C31" s="178" t="s">
        <v>65</v>
      </c>
      <c r="D31" s="137">
        <v>1</v>
      </c>
      <c r="E31" s="137">
        <v>1</v>
      </c>
      <c r="F31" s="137">
        <v>4</v>
      </c>
      <c r="G31" s="137">
        <v>1</v>
      </c>
      <c r="H31" s="137">
        <v>1</v>
      </c>
      <c r="I31" s="137">
        <v>4</v>
      </c>
    </row>
    <row r="32" spans="1:9" x14ac:dyDescent="0.25">
      <c r="A32" s="58"/>
      <c r="B32" s="476" t="s">
        <v>66</v>
      </c>
      <c r="C32" s="178" t="s">
        <v>67</v>
      </c>
      <c r="D32" s="137" t="s">
        <v>42</v>
      </c>
      <c r="E32" s="137" t="s">
        <v>33</v>
      </c>
      <c r="F32" s="137" t="s">
        <v>33</v>
      </c>
      <c r="G32" s="137" t="s">
        <v>42</v>
      </c>
      <c r="H32" s="137" t="s">
        <v>33</v>
      </c>
      <c r="I32" s="137" t="s">
        <v>33</v>
      </c>
    </row>
    <row r="33" spans="1:9" x14ac:dyDescent="0.25">
      <c r="A33" s="58"/>
      <c r="B33" s="476"/>
      <c r="C33" s="178" t="s">
        <v>68</v>
      </c>
      <c r="D33" s="137">
        <v>128</v>
      </c>
      <c r="E33" s="137" t="s">
        <v>33</v>
      </c>
      <c r="F33" s="137">
        <v>256</v>
      </c>
      <c r="G33" s="137">
        <v>128</v>
      </c>
      <c r="H33" s="137" t="s">
        <v>33</v>
      </c>
      <c r="I33" s="137">
        <v>256</v>
      </c>
    </row>
    <row r="34" spans="1:9" x14ac:dyDescent="0.25">
      <c r="A34" s="58"/>
      <c r="B34" s="476"/>
      <c r="C34" s="178" t="s">
        <v>69</v>
      </c>
      <c r="D34" s="137">
        <v>1</v>
      </c>
      <c r="E34" s="137">
        <v>1</v>
      </c>
      <c r="F34" s="137">
        <v>1</v>
      </c>
      <c r="G34" s="137">
        <v>1</v>
      </c>
      <c r="H34" s="137">
        <v>1</v>
      </c>
      <c r="I34" s="137">
        <v>1</v>
      </c>
    </row>
    <row r="35" spans="1:9" x14ac:dyDescent="0.25">
      <c r="A35" s="58"/>
      <c r="B35" s="476"/>
      <c r="C35" s="178" t="s">
        <v>70</v>
      </c>
      <c r="D35" s="137">
        <v>16</v>
      </c>
      <c r="E35" s="137">
        <v>16</v>
      </c>
      <c r="F35" s="137">
        <v>16</v>
      </c>
      <c r="G35" s="137">
        <v>16</v>
      </c>
      <c r="H35" s="137">
        <v>16</v>
      </c>
      <c r="I35" s="137">
        <v>16</v>
      </c>
    </row>
    <row r="36" spans="1:9" x14ac:dyDescent="0.25">
      <c r="A36" s="58"/>
      <c r="B36" s="476"/>
      <c r="C36" s="178" t="s">
        <v>71</v>
      </c>
      <c r="D36" s="137">
        <v>0</v>
      </c>
      <c r="E36" s="137">
        <v>0</v>
      </c>
      <c r="F36" s="137">
        <v>0</v>
      </c>
      <c r="G36" s="137">
        <v>0</v>
      </c>
      <c r="H36" s="137">
        <v>0</v>
      </c>
      <c r="I36" s="137">
        <v>0</v>
      </c>
    </row>
    <row r="37" spans="1:9" x14ac:dyDescent="0.25">
      <c r="A37" s="58"/>
      <c r="B37" s="476"/>
      <c r="C37" s="178" t="s">
        <v>210</v>
      </c>
      <c r="D37" s="137">
        <v>128</v>
      </c>
      <c r="E37" s="137" t="s">
        <v>33</v>
      </c>
      <c r="F37" s="137">
        <v>2048</v>
      </c>
      <c r="G37" s="185">
        <v>1024</v>
      </c>
      <c r="H37" s="137" t="s">
        <v>33</v>
      </c>
      <c r="I37" s="137">
        <v>2048</v>
      </c>
    </row>
    <row r="38" spans="1:9" x14ac:dyDescent="0.25">
      <c r="A38" s="58"/>
      <c r="B38" s="476"/>
      <c r="C38" s="178" t="s">
        <v>73</v>
      </c>
      <c r="D38" s="137" t="s">
        <v>33</v>
      </c>
      <c r="E38" s="137" t="s">
        <v>33</v>
      </c>
      <c r="F38" s="137" t="s">
        <v>33</v>
      </c>
      <c r="G38" s="137" t="s">
        <v>33</v>
      </c>
      <c r="H38" s="137" t="s">
        <v>33</v>
      </c>
      <c r="I38" s="137" t="s">
        <v>33</v>
      </c>
    </row>
    <row r="39" spans="1:9" x14ac:dyDescent="0.25">
      <c r="A39" s="58"/>
      <c r="B39" s="476"/>
      <c r="C39" s="178" t="s">
        <v>74</v>
      </c>
      <c r="D39" s="137" t="s">
        <v>33</v>
      </c>
      <c r="E39" s="137" t="s">
        <v>33</v>
      </c>
      <c r="F39" s="137" t="s">
        <v>33</v>
      </c>
      <c r="G39" s="137" t="s">
        <v>33</v>
      </c>
      <c r="H39" s="137" t="s">
        <v>33</v>
      </c>
      <c r="I39" s="137" t="s">
        <v>33</v>
      </c>
    </row>
    <row r="40" spans="1:9" x14ac:dyDescent="0.25">
      <c r="A40" s="58"/>
      <c r="B40" s="476"/>
      <c r="C40" s="178" t="s">
        <v>75</v>
      </c>
      <c r="D40" s="177">
        <v>6</v>
      </c>
      <c r="E40" s="137" t="s">
        <v>33</v>
      </c>
      <c r="F40" s="137">
        <v>6</v>
      </c>
      <c r="G40" s="177">
        <v>6</v>
      </c>
      <c r="H40" s="137" t="s">
        <v>33</v>
      </c>
      <c r="I40" s="137">
        <v>6</v>
      </c>
    </row>
    <row r="41" spans="1:9" x14ac:dyDescent="0.25">
      <c r="A41" s="58"/>
      <c r="B41" s="476"/>
      <c r="C41" s="178" t="s">
        <v>76</v>
      </c>
      <c r="D41" s="177">
        <v>6</v>
      </c>
      <c r="E41" s="137" t="s">
        <v>33</v>
      </c>
      <c r="F41" s="137">
        <v>6</v>
      </c>
      <c r="G41" s="177">
        <v>6</v>
      </c>
      <c r="H41" s="137" t="s">
        <v>33</v>
      </c>
      <c r="I41" s="137">
        <v>6</v>
      </c>
    </row>
    <row r="42" spans="1:9" x14ac:dyDescent="0.25">
      <c r="A42" s="58"/>
      <c r="B42" s="476"/>
      <c r="C42" s="178" t="s">
        <v>77</v>
      </c>
      <c r="D42" s="137" t="s">
        <v>42</v>
      </c>
      <c r="E42" s="137" t="s">
        <v>33</v>
      </c>
      <c r="F42" s="137" t="s">
        <v>33</v>
      </c>
      <c r="G42" s="137" t="s">
        <v>42</v>
      </c>
      <c r="H42" s="137" t="s">
        <v>33</v>
      </c>
      <c r="I42" s="137" t="s">
        <v>33</v>
      </c>
    </row>
    <row r="43" spans="1:9" x14ac:dyDescent="0.25">
      <c r="A43" s="58"/>
      <c r="B43" s="476"/>
      <c r="C43" s="178" t="s">
        <v>78</v>
      </c>
      <c r="D43" s="137" t="s">
        <v>33</v>
      </c>
      <c r="E43" s="137" t="s">
        <v>33</v>
      </c>
      <c r="F43" s="137" t="s">
        <v>33</v>
      </c>
      <c r="G43" s="137" t="s">
        <v>33</v>
      </c>
      <c r="H43" s="137" t="s">
        <v>33</v>
      </c>
      <c r="I43" s="137" t="s">
        <v>33</v>
      </c>
    </row>
    <row r="44" spans="1:9" x14ac:dyDescent="0.25">
      <c r="A44" s="476" t="s">
        <v>79</v>
      </c>
      <c r="B44" s="477" t="s">
        <v>8</v>
      </c>
      <c r="C44" s="179" t="s">
        <v>80</v>
      </c>
      <c r="D44" s="137" t="s">
        <v>33</v>
      </c>
      <c r="E44" s="137" t="s">
        <v>33</v>
      </c>
      <c r="F44" s="137" t="s">
        <v>33</v>
      </c>
      <c r="G44" s="137" t="s">
        <v>33</v>
      </c>
      <c r="H44" s="137" t="s">
        <v>33</v>
      </c>
      <c r="I44" s="137" t="s">
        <v>33</v>
      </c>
    </row>
    <row r="45" spans="1:9" x14ac:dyDescent="0.25">
      <c r="A45" s="476"/>
      <c r="B45" s="478"/>
      <c r="C45" s="179" t="s">
        <v>81</v>
      </c>
      <c r="D45" s="137" t="s">
        <v>33</v>
      </c>
      <c r="E45" s="137">
        <v>10000</v>
      </c>
      <c r="F45" s="137" t="s">
        <v>33</v>
      </c>
      <c r="G45" s="137" t="s">
        <v>33</v>
      </c>
      <c r="H45" s="137">
        <v>10000</v>
      </c>
      <c r="I45" s="137" t="s">
        <v>33</v>
      </c>
    </row>
    <row r="46" spans="1:9" x14ac:dyDescent="0.25">
      <c r="A46" s="476"/>
      <c r="B46" s="478"/>
      <c r="C46" s="179" t="s">
        <v>82</v>
      </c>
      <c r="D46" s="137" t="s">
        <v>33</v>
      </c>
      <c r="E46" s="137">
        <v>4096</v>
      </c>
      <c r="F46" s="137" t="s">
        <v>33</v>
      </c>
      <c r="G46" s="137" t="s">
        <v>33</v>
      </c>
      <c r="H46" s="137">
        <v>4096</v>
      </c>
      <c r="I46" s="137" t="s">
        <v>33</v>
      </c>
    </row>
    <row r="47" spans="1:9" x14ac:dyDescent="0.25">
      <c r="A47" s="476"/>
      <c r="B47" s="478"/>
      <c r="C47" s="179" t="s">
        <v>83</v>
      </c>
      <c r="D47" s="137" t="s">
        <v>33</v>
      </c>
      <c r="E47" s="137">
        <v>512</v>
      </c>
      <c r="F47" s="137" t="s">
        <v>33</v>
      </c>
      <c r="G47" s="137" t="s">
        <v>33</v>
      </c>
      <c r="H47" s="185">
        <v>1024</v>
      </c>
      <c r="I47" s="137" t="s">
        <v>33</v>
      </c>
    </row>
    <row r="48" spans="1:9" x14ac:dyDescent="0.25">
      <c r="A48" s="476"/>
      <c r="B48" s="478"/>
      <c r="C48" s="179" t="s">
        <v>84</v>
      </c>
      <c r="D48" s="137" t="s">
        <v>33</v>
      </c>
      <c r="E48" s="137" t="s">
        <v>42</v>
      </c>
      <c r="F48" s="137" t="s">
        <v>33</v>
      </c>
      <c r="G48" s="137" t="s">
        <v>33</v>
      </c>
      <c r="H48" s="137" t="s">
        <v>42</v>
      </c>
      <c r="I48" s="137" t="s">
        <v>33</v>
      </c>
    </row>
    <row r="49" spans="1:9" x14ac:dyDescent="0.25">
      <c r="A49" s="476"/>
      <c r="B49" s="478"/>
      <c r="C49" s="179" t="s">
        <v>85</v>
      </c>
      <c r="D49" s="137" t="s">
        <v>33</v>
      </c>
      <c r="E49" s="137" t="s">
        <v>33</v>
      </c>
      <c r="F49" s="137" t="s">
        <v>33</v>
      </c>
      <c r="G49" s="137" t="s">
        <v>33</v>
      </c>
      <c r="H49" s="137" t="s">
        <v>33</v>
      </c>
      <c r="I49" s="137" t="s">
        <v>33</v>
      </c>
    </row>
    <row r="50" spans="1:9" x14ac:dyDescent="0.25">
      <c r="A50" s="476"/>
      <c r="B50" s="478"/>
      <c r="C50" s="179" t="s">
        <v>86</v>
      </c>
      <c r="D50" s="137" t="s">
        <v>33</v>
      </c>
      <c r="E50" s="137" t="s">
        <v>33</v>
      </c>
      <c r="F50" s="137" t="s">
        <v>33</v>
      </c>
      <c r="G50" s="137" t="s">
        <v>33</v>
      </c>
      <c r="H50" s="137" t="s">
        <v>33</v>
      </c>
      <c r="I50" s="137" t="s">
        <v>33</v>
      </c>
    </row>
    <row r="51" spans="1:9" x14ac:dyDescent="0.25">
      <c r="A51" s="476"/>
      <c r="B51" s="479"/>
      <c r="C51" s="179" t="s">
        <v>87</v>
      </c>
      <c r="D51" s="137" t="s">
        <v>33</v>
      </c>
      <c r="E51" s="137" t="s">
        <v>33</v>
      </c>
      <c r="F51" s="137" t="s">
        <v>33</v>
      </c>
      <c r="G51" s="137" t="s">
        <v>33</v>
      </c>
      <c r="H51" s="137" t="s">
        <v>33</v>
      </c>
      <c r="I51" s="137" t="s">
        <v>33</v>
      </c>
    </row>
    <row r="52" spans="1:9" x14ac:dyDescent="0.25">
      <c r="A52" s="476"/>
      <c r="B52" s="477" t="s">
        <v>9</v>
      </c>
      <c r="C52" s="179" t="s">
        <v>88</v>
      </c>
      <c r="D52" s="137" t="s">
        <v>33</v>
      </c>
      <c r="E52" s="137" t="s">
        <v>33</v>
      </c>
      <c r="F52" s="137" t="s">
        <v>33</v>
      </c>
      <c r="G52" s="137" t="s">
        <v>33</v>
      </c>
      <c r="H52" s="137" t="s">
        <v>33</v>
      </c>
      <c r="I52" s="137" t="s">
        <v>33</v>
      </c>
    </row>
    <row r="53" spans="1:9" x14ac:dyDescent="0.25">
      <c r="A53" s="476"/>
      <c r="B53" s="478"/>
      <c r="C53" s="179" t="s">
        <v>89</v>
      </c>
      <c r="D53" s="137" t="s">
        <v>33</v>
      </c>
      <c r="E53" s="137" t="s">
        <v>33</v>
      </c>
      <c r="F53" s="137" t="s">
        <v>33</v>
      </c>
      <c r="G53" s="137" t="s">
        <v>33</v>
      </c>
      <c r="H53" s="137" t="s">
        <v>33</v>
      </c>
      <c r="I53" s="137" t="s">
        <v>33</v>
      </c>
    </row>
    <row r="54" spans="1:9" x14ac:dyDescent="0.25">
      <c r="A54" s="476"/>
      <c r="B54" s="478"/>
      <c r="C54" s="179" t="s">
        <v>90</v>
      </c>
      <c r="D54" s="137" t="s">
        <v>33</v>
      </c>
      <c r="E54" s="137" t="s">
        <v>33</v>
      </c>
      <c r="F54" s="137" t="s">
        <v>33</v>
      </c>
      <c r="G54" s="137" t="s">
        <v>33</v>
      </c>
      <c r="H54" s="137" t="s">
        <v>33</v>
      </c>
      <c r="I54" s="137" t="s">
        <v>33</v>
      </c>
    </row>
    <row r="55" spans="1:9" x14ac:dyDescent="0.25">
      <c r="A55" s="476"/>
      <c r="B55" s="479"/>
      <c r="C55" s="180" t="s">
        <v>91</v>
      </c>
      <c r="D55" s="137" t="s">
        <v>33</v>
      </c>
      <c r="E55" s="137" t="s">
        <v>33</v>
      </c>
      <c r="F55" s="137" t="s">
        <v>33</v>
      </c>
      <c r="G55" s="137" t="s">
        <v>33</v>
      </c>
      <c r="H55" s="137" t="s">
        <v>33</v>
      </c>
      <c r="I55" s="137" t="s">
        <v>33</v>
      </c>
    </row>
    <row r="56" spans="1:9" x14ac:dyDescent="0.25">
      <c r="A56" s="477" t="s">
        <v>92</v>
      </c>
      <c r="B56" s="477" t="s">
        <v>8</v>
      </c>
      <c r="C56" s="181" t="s">
        <v>93</v>
      </c>
      <c r="D56" s="137" t="s">
        <v>33</v>
      </c>
      <c r="E56" s="137" t="s">
        <v>33</v>
      </c>
      <c r="F56" s="137">
        <v>1024</v>
      </c>
      <c r="G56" s="137" t="s">
        <v>33</v>
      </c>
      <c r="H56" s="137" t="s">
        <v>33</v>
      </c>
      <c r="I56" s="137">
        <v>1024</v>
      </c>
    </row>
    <row r="57" spans="1:9" x14ac:dyDescent="0.25">
      <c r="A57" s="478"/>
      <c r="B57" s="478"/>
      <c r="C57" s="181" t="s">
        <v>94</v>
      </c>
      <c r="D57" s="137" t="s">
        <v>33</v>
      </c>
      <c r="E57" s="137" t="s">
        <v>33</v>
      </c>
      <c r="F57" s="137" t="s">
        <v>209</v>
      </c>
      <c r="G57" s="137" t="s">
        <v>33</v>
      </c>
      <c r="H57" s="137" t="s">
        <v>33</v>
      </c>
      <c r="I57" s="137" t="s">
        <v>209</v>
      </c>
    </row>
    <row r="58" spans="1:9" x14ac:dyDescent="0.25">
      <c r="A58" s="478"/>
      <c r="B58" s="478"/>
      <c r="C58" s="181" t="s">
        <v>95</v>
      </c>
      <c r="D58" s="137" t="s">
        <v>33</v>
      </c>
      <c r="E58" s="137" t="s">
        <v>33</v>
      </c>
      <c r="F58" s="137">
        <v>1</v>
      </c>
      <c r="G58" s="137" t="s">
        <v>33</v>
      </c>
      <c r="H58" s="137" t="s">
        <v>33</v>
      </c>
      <c r="I58" s="137">
        <v>1</v>
      </c>
    </row>
    <row r="59" spans="1:9" x14ac:dyDescent="0.25">
      <c r="A59" s="478"/>
      <c r="B59" s="478"/>
      <c r="C59" s="181" t="s">
        <v>96</v>
      </c>
      <c r="D59" s="137" t="s">
        <v>33</v>
      </c>
      <c r="E59" s="137" t="s">
        <v>33</v>
      </c>
      <c r="F59" s="137" t="s">
        <v>33</v>
      </c>
      <c r="G59" s="137" t="s">
        <v>33</v>
      </c>
      <c r="H59" s="137" t="s">
        <v>33</v>
      </c>
      <c r="I59" s="137" t="s">
        <v>33</v>
      </c>
    </row>
    <row r="60" spans="1:9" x14ac:dyDescent="0.25">
      <c r="A60" s="478"/>
      <c r="B60" s="478"/>
      <c r="C60" s="181" t="s">
        <v>97</v>
      </c>
      <c r="D60" s="137" t="s">
        <v>33</v>
      </c>
      <c r="E60" s="137" t="s">
        <v>33</v>
      </c>
      <c r="F60" s="137">
        <v>1024</v>
      </c>
      <c r="G60" s="137" t="s">
        <v>33</v>
      </c>
      <c r="H60" s="137" t="s">
        <v>33</v>
      </c>
      <c r="I60" s="137">
        <v>1024</v>
      </c>
    </row>
    <row r="61" spans="1:9" x14ac:dyDescent="0.25">
      <c r="A61" s="478"/>
      <c r="B61" s="478"/>
      <c r="C61" s="181" t="s">
        <v>98</v>
      </c>
      <c r="D61" s="137" t="s">
        <v>33</v>
      </c>
      <c r="E61" s="137" t="s">
        <v>33</v>
      </c>
      <c r="F61" s="137" t="s">
        <v>33</v>
      </c>
      <c r="G61" s="137" t="s">
        <v>33</v>
      </c>
      <c r="H61" s="137" t="s">
        <v>33</v>
      </c>
      <c r="I61" s="137" t="s">
        <v>33</v>
      </c>
    </row>
    <row r="62" spans="1:9" x14ac:dyDescent="0.25">
      <c r="A62" s="478"/>
      <c r="B62" s="479"/>
      <c r="C62" s="181" t="s">
        <v>99</v>
      </c>
      <c r="D62" s="137">
        <v>1</v>
      </c>
      <c r="E62" s="137">
        <v>1</v>
      </c>
      <c r="F62" s="137">
        <v>1</v>
      </c>
      <c r="G62" s="137">
        <v>1</v>
      </c>
      <c r="H62" s="137">
        <v>1</v>
      </c>
      <c r="I62" s="137">
        <v>1</v>
      </c>
    </row>
    <row r="63" spans="1:9" x14ac:dyDescent="0.25">
      <c r="A63" s="478"/>
      <c r="B63" s="477" t="s">
        <v>9</v>
      </c>
      <c r="C63" s="181" t="s">
        <v>100</v>
      </c>
      <c r="D63" s="137">
        <v>1</v>
      </c>
      <c r="E63" s="137" t="s">
        <v>33</v>
      </c>
      <c r="F63" s="137">
        <v>1</v>
      </c>
      <c r="G63" s="137">
        <v>1</v>
      </c>
      <c r="H63" s="137" t="s">
        <v>33</v>
      </c>
      <c r="I63" s="137">
        <v>1</v>
      </c>
    </row>
    <row r="64" spans="1:9" x14ac:dyDescent="0.25">
      <c r="A64" s="479"/>
      <c r="B64" s="479"/>
      <c r="C64" s="181" t="s">
        <v>101</v>
      </c>
      <c r="D64" s="137" t="s">
        <v>33</v>
      </c>
      <c r="E64" s="137" t="s">
        <v>33</v>
      </c>
      <c r="F64" s="137" t="s">
        <v>33</v>
      </c>
      <c r="G64" s="137" t="s">
        <v>33</v>
      </c>
      <c r="H64" s="137" t="s">
        <v>33</v>
      </c>
      <c r="I64" s="137" t="s">
        <v>33</v>
      </c>
    </row>
    <row r="65" spans="1:9" x14ac:dyDescent="0.25">
      <c r="A65" s="477" t="s">
        <v>102</v>
      </c>
      <c r="B65" s="477" t="s">
        <v>9</v>
      </c>
      <c r="C65" s="182" t="s">
        <v>103</v>
      </c>
      <c r="D65" s="137" t="s">
        <v>33</v>
      </c>
      <c r="E65" s="137" t="s">
        <v>33</v>
      </c>
      <c r="F65" s="137" t="s">
        <v>33</v>
      </c>
      <c r="G65" s="137" t="s">
        <v>33</v>
      </c>
      <c r="H65" s="137" t="s">
        <v>33</v>
      </c>
      <c r="I65" s="137" t="s">
        <v>33</v>
      </c>
    </row>
    <row r="66" spans="1:9" x14ac:dyDescent="0.25">
      <c r="A66" s="478"/>
      <c r="B66" s="478"/>
      <c r="C66" s="182" t="s">
        <v>104</v>
      </c>
      <c r="D66" s="137" t="s">
        <v>42</v>
      </c>
      <c r="E66" s="137" t="s">
        <v>33</v>
      </c>
      <c r="F66" s="137" t="s">
        <v>33</v>
      </c>
      <c r="G66" s="137" t="s">
        <v>42</v>
      </c>
      <c r="H66" s="137" t="s">
        <v>33</v>
      </c>
      <c r="I66" s="137" t="s">
        <v>33</v>
      </c>
    </row>
    <row r="67" spans="1:9" x14ac:dyDescent="0.25">
      <c r="A67" s="479"/>
      <c r="B67" s="479"/>
      <c r="C67" s="182" t="s">
        <v>105</v>
      </c>
      <c r="D67" s="137" t="s">
        <v>42</v>
      </c>
      <c r="E67" s="137" t="s">
        <v>33</v>
      </c>
      <c r="F67" s="137" t="s">
        <v>33</v>
      </c>
      <c r="G67" s="137" t="s">
        <v>42</v>
      </c>
      <c r="H67" s="137" t="s">
        <v>33</v>
      </c>
      <c r="I67" s="137" t="s">
        <v>33</v>
      </c>
    </row>
    <row r="68" spans="1:9" x14ac:dyDescent="0.25">
      <c r="A68" s="166" t="s">
        <v>106</v>
      </c>
      <c r="B68" s="166" t="s">
        <v>8</v>
      </c>
      <c r="C68" s="183" t="s">
        <v>107</v>
      </c>
      <c r="D68" s="137" t="s">
        <v>33</v>
      </c>
      <c r="E68" s="137" t="s">
        <v>33</v>
      </c>
      <c r="F68" s="137" t="s">
        <v>33</v>
      </c>
      <c r="G68" s="137" t="s">
        <v>33</v>
      </c>
      <c r="H68" s="137" t="s">
        <v>33</v>
      </c>
      <c r="I68" s="137" t="s">
        <v>33</v>
      </c>
    </row>
    <row r="69" spans="1:9" x14ac:dyDescent="0.25">
      <c r="A69" s="477" t="s">
        <v>108</v>
      </c>
      <c r="B69" s="477" t="s">
        <v>8</v>
      </c>
      <c r="C69" s="184" t="s">
        <v>109</v>
      </c>
      <c r="D69" s="137" t="s">
        <v>33</v>
      </c>
      <c r="E69" s="137" t="s">
        <v>33</v>
      </c>
      <c r="F69" s="137" t="s">
        <v>33</v>
      </c>
      <c r="G69" s="137" t="s">
        <v>33</v>
      </c>
      <c r="H69" s="137" t="s">
        <v>33</v>
      </c>
      <c r="I69" s="137" t="s">
        <v>33</v>
      </c>
    </row>
    <row r="70" spans="1:9" x14ac:dyDescent="0.25">
      <c r="A70" s="478"/>
      <c r="B70" s="478"/>
      <c r="C70" s="184" t="s">
        <v>110</v>
      </c>
      <c r="D70" s="137" t="s">
        <v>33</v>
      </c>
      <c r="E70" s="137" t="s">
        <v>33</v>
      </c>
      <c r="F70" s="137" t="s">
        <v>33</v>
      </c>
      <c r="G70" s="137" t="s">
        <v>33</v>
      </c>
      <c r="H70" s="137" t="s">
        <v>33</v>
      </c>
      <c r="I70" s="137" t="s">
        <v>33</v>
      </c>
    </row>
    <row r="71" spans="1:9" x14ac:dyDescent="0.25">
      <c r="A71" s="478"/>
      <c r="B71" s="479"/>
      <c r="C71" s="184" t="s">
        <v>111</v>
      </c>
      <c r="D71" s="137" t="s">
        <v>33</v>
      </c>
      <c r="E71" s="137" t="s">
        <v>33</v>
      </c>
      <c r="F71" s="137" t="s">
        <v>33</v>
      </c>
      <c r="G71" s="137" t="s">
        <v>33</v>
      </c>
      <c r="H71" s="137" t="s">
        <v>33</v>
      </c>
      <c r="I71" s="137" t="s">
        <v>33</v>
      </c>
    </row>
    <row r="72" spans="1:9" x14ac:dyDescent="0.25">
      <c r="A72" s="478"/>
      <c r="B72" s="477" t="s">
        <v>9</v>
      </c>
      <c r="C72" s="184" t="s">
        <v>112</v>
      </c>
      <c r="D72" s="137" t="s">
        <v>33</v>
      </c>
      <c r="E72" s="137" t="s">
        <v>33</v>
      </c>
      <c r="F72" s="137" t="s">
        <v>33</v>
      </c>
      <c r="G72" s="137" t="s">
        <v>33</v>
      </c>
      <c r="H72" s="137" t="s">
        <v>33</v>
      </c>
      <c r="I72" s="137" t="s">
        <v>33</v>
      </c>
    </row>
    <row r="73" spans="1:9" x14ac:dyDescent="0.25">
      <c r="A73" s="478"/>
      <c r="B73" s="478"/>
      <c r="C73" s="184" t="s">
        <v>113</v>
      </c>
      <c r="D73" s="137" t="s">
        <v>33</v>
      </c>
      <c r="E73" s="137" t="s">
        <v>33</v>
      </c>
      <c r="F73" s="137" t="s">
        <v>33</v>
      </c>
      <c r="G73" s="137" t="s">
        <v>33</v>
      </c>
      <c r="H73" s="137" t="s">
        <v>33</v>
      </c>
      <c r="I73" s="137" t="s">
        <v>33</v>
      </c>
    </row>
    <row r="74" spans="1:9" x14ac:dyDescent="0.25">
      <c r="A74" s="479"/>
      <c r="B74" s="479"/>
      <c r="C74" s="184" t="s">
        <v>114</v>
      </c>
      <c r="D74" s="137" t="s">
        <v>33</v>
      </c>
      <c r="E74" s="137" t="s">
        <v>33</v>
      </c>
      <c r="F74" s="137" t="s">
        <v>33</v>
      </c>
      <c r="G74" s="137" t="s">
        <v>33</v>
      </c>
      <c r="H74" s="137" t="s">
        <v>33</v>
      </c>
      <c r="I74" s="137" t="s">
        <v>33</v>
      </c>
    </row>
    <row r="75" spans="1:9" x14ac:dyDescent="0.25">
      <c r="A75" s="483" t="s">
        <v>211</v>
      </c>
      <c r="B75" s="484"/>
      <c r="C75" s="167" t="s">
        <v>212</v>
      </c>
      <c r="D75" s="137" t="s">
        <v>33</v>
      </c>
      <c r="E75" s="137" t="s">
        <v>33</v>
      </c>
      <c r="F75" s="137">
        <v>1024</v>
      </c>
      <c r="G75" s="137" t="s">
        <v>33</v>
      </c>
      <c r="H75" s="137" t="s">
        <v>33</v>
      </c>
      <c r="I75" s="137">
        <v>1024</v>
      </c>
    </row>
    <row r="76" spans="1:9" x14ac:dyDescent="0.25">
      <c r="A76" s="485"/>
      <c r="B76" s="486"/>
      <c r="C76" s="167" t="s">
        <v>213</v>
      </c>
      <c r="D76" s="137">
        <v>128</v>
      </c>
      <c r="E76" s="137">
        <v>1024</v>
      </c>
      <c r="F76" s="137">
        <v>1024</v>
      </c>
      <c r="G76" s="137">
        <v>128</v>
      </c>
      <c r="H76" s="137">
        <v>1024</v>
      </c>
      <c r="I76" s="137">
        <v>1024</v>
      </c>
    </row>
    <row r="77" spans="1:9" x14ac:dyDescent="0.25">
      <c r="A77" s="485"/>
      <c r="B77" s="486"/>
      <c r="C77" s="167" t="s">
        <v>214</v>
      </c>
      <c r="D77" s="137" t="s">
        <v>33</v>
      </c>
      <c r="E77" s="137" t="s">
        <v>215</v>
      </c>
      <c r="F77" s="137">
        <v>5000</v>
      </c>
      <c r="G77" s="137" t="s">
        <v>33</v>
      </c>
      <c r="H77" s="137" t="s">
        <v>215</v>
      </c>
      <c r="I77" s="137">
        <v>5000</v>
      </c>
    </row>
    <row r="78" spans="1:9" x14ac:dyDescent="0.25">
      <c r="A78" s="485"/>
      <c r="B78" s="486"/>
      <c r="C78" s="167" t="s">
        <v>131</v>
      </c>
      <c r="D78" s="137" t="s">
        <v>124</v>
      </c>
      <c r="E78" s="137" t="s">
        <v>33</v>
      </c>
      <c r="F78" s="137" t="s">
        <v>33</v>
      </c>
      <c r="G78" s="137" t="s">
        <v>124</v>
      </c>
      <c r="H78" s="137" t="s">
        <v>33</v>
      </c>
      <c r="I78" s="137" t="s">
        <v>33</v>
      </c>
    </row>
    <row r="79" spans="1:9" x14ac:dyDescent="0.25">
      <c r="A79" s="485"/>
      <c r="B79" s="486"/>
      <c r="C79" s="167" t="s">
        <v>216</v>
      </c>
      <c r="D79" s="137" t="s">
        <v>33</v>
      </c>
      <c r="E79" s="137" t="s">
        <v>217</v>
      </c>
      <c r="F79" s="137" t="s">
        <v>218</v>
      </c>
      <c r="G79" s="137" t="s">
        <v>33</v>
      </c>
      <c r="H79" s="137" t="s">
        <v>217</v>
      </c>
      <c r="I79" s="137" t="s">
        <v>218</v>
      </c>
    </row>
    <row r="80" spans="1:9" x14ac:dyDescent="0.25">
      <c r="A80" s="485"/>
      <c r="B80" s="486"/>
      <c r="C80" s="167" t="s">
        <v>219</v>
      </c>
      <c r="D80" s="137">
        <v>7680</v>
      </c>
      <c r="E80" s="137" t="s">
        <v>33</v>
      </c>
      <c r="F80" s="137" t="s">
        <v>33</v>
      </c>
      <c r="G80" s="185">
        <v>11264</v>
      </c>
      <c r="H80" s="137" t="s">
        <v>33</v>
      </c>
      <c r="I80" s="137" t="s">
        <v>33</v>
      </c>
    </row>
    <row r="81" spans="1:9" x14ac:dyDescent="0.25">
      <c r="A81" s="485"/>
      <c r="B81" s="486"/>
      <c r="C81" s="167" t="s">
        <v>220</v>
      </c>
      <c r="D81" s="137">
        <v>768</v>
      </c>
      <c r="E81" s="137" t="s">
        <v>33</v>
      </c>
      <c r="F81" s="137" t="s">
        <v>33</v>
      </c>
      <c r="G81" s="137">
        <v>768</v>
      </c>
      <c r="H81" s="137" t="s">
        <v>33</v>
      </c>
      <c r="I81" s="137" t="s">
        <v>33</v>
      </c>
    </row>
    <row r="82" spans="1:9" x14ac:dyDescent="0.25">
      <c r="A82" s="485"/>
      <c r="B82" s="486"/>
      <c r="C82" s="167" t="s">
        <v>221</v>
      </c>
      <c r="D82" s="137" t="s">
        <v>33</v>
      </c>
      <c r="E82" s="137" t="s">
        <v>222</v>
      </c>
      <c r="F82" s="137" t="s">
        <v>223</v>
      </c>
      <c r="G82" s="137" t="s">
        <v>33</v>
      </c>
      <c r="H82" s="185">
        <v>40960</v>
      </c>
      <c r="I82" s="137" t="s">
        <v>223</v>
      </c>
    </row>
    <row r="83" spans="1:9" x14ac:dyDescent="0.25">
      <c r="A83" s="485"/>
      <c r="B83" s="486"/>
      <c r="C83" s="167" t="s">
        <v>224</v>
      </c>
      <c r="D83" s="137" t="s">
        <v>33</v>
      </c>
      <c r="E83" s="137">
        <v>10</v>
      </c>
      <c r="F83" s="137">
        <v>10</v>
      </c>
      <c r="G83" s="137" t="s">
        <v>33</v>
      </c>
      <c r="H83" s="137">
        <v>10</v>
      </c>
      <c r="I83" s="137">
        <v>10</v>
      </c>
    </row>
    <row r="84" spans="1:9" x14ac:dyDescent="0.25">
      <c r="A84" s="487"/>
      <c r="B84" s="488"/>
      <c r="C84" s="167" t="s">
        <v>225</v>
      </c>
      <c r="D84" s="137" t="s">
        <v>33</v>
      </c>
      <c r="E84" s="137">
        <v>1024</v>
      </c>
      <c r="F84" s="137" t="s">
        <v>226</v>
      </c>
      <c r="G84" s="137" t="s">
        <v>33</v>
      </c>
      <c r="H84" s="137">
        <v>1024</v>
      </c>
      <c r="I84" s="137" t="s">
        <v>226</v>
      </c>
    </row>
  </sheetData>
  <mergeCells count="18">
    <mergeCell ref="A75:B84"/>
    <mergeCell ref="A56:A64"/>
    <mergeCell ref="B56:B62"/>
    <mergeCell ref="B63:B64"/>
    <mergeCell ref="A65:A67"/>
    <mergeCell ref="B65:B67"/>
    <mergeCell ref="A69:A74"/>
    <mergeCell ref="B72:B74"/>
    <mergeCell ref="B69:B71"/>
    <mergeCell ref="A44:A55"/>
    <mergeCell ref="B44:B51"/>
    <mergeCell ref="B32:B43"/>
    <mergeCell ref="B52:B55"/>
    <mergeCell ref="D1:I1"/>
    <mergeCell ref="D2:F2"/>
    <mergeCell ref="G2:I2"/>
    <mergeCell ref="B4:B17"/>
    <mergeCell ref="B19:B31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6E65-5802-4F5F-B8E6-96F5C53E55BD}">
  <dimension ref="A1:M125"/>
  <sheetViews>
    <sheetView zoomScale="70" zoomScaleNormal="70" workbookViewId="0">
      <selection activeCell="V42" sqref="V42"/>
    </sheetView>
  </sheetViews>
  <sheetFormatPr defaultRowHeight="15" x14ac:dyDescent="0.25"/>
  <cols>
    <col min="1" max="1" width="17" customWidth="1"/>
    <col min="2" max="2" width="35.140625" customWidth="1"/>
    <col min="3" max="3" width="19" customWidth="1"/>
    <col min="4" max="4" width="18.7109375" customWidth="1"/>
    <col min="5" max="5" width="18" customWidth="1"/>
    <col min="6" max="6" width="22.7109375" customWidth="1"/>
    <col min="7" max="7" width="15.42578125" customWidth="1"/>
    <col min="8" max="8" width="15.85546875" customWidth="1"/>
    <col min="9" max="9" width="16.28515625" customWidth="1"/>
    <col min="10" max="10" width="25.28515625" customWidth="1"/>
    <col min="11" max="11" width="18.28515625" customWidth="1"/>
    <col min="12" max="12" width="21.140625" customWidth="1"/>
  </cols>
  <sheetData>
    <row r="1" spans="1:8" ht="18.75" x14ac:dyDescent="0.3">
      <c r="A1" s="360" t="s">
        <v>137</v>
      </c>
      <c r="B1" s="360"/>
      <c r="C1" s="361" t="s">
        <v>227</v>
      </c>
      <c r="D1" s="362"/>
      <c r="E1" s="362"/>
      <c r="F1" s="363"/>
      <c r="G1" s="364" t="s">
        <v>140</v>
      </c>
      <c r="H1" s="365"/>
    </row>
    <row r="2" spans="1:8" ht="18.75" x14ac:dyDescent="0.3">
      <c r="A2" s="360"/>
      <c r="B2" s="360"/>
      <c r="C2" s="366" t="s">
        <v>228</v>
      </c>
      <c r="D2" s="456"/>
      <c r="E2" s="366" t="s">
        <v>229</v>
      </c>
      <c r="F2" s="456"/>
      <c r="G2" s="165" t="s">
        <v>230</v>
      </c>
      <c r="H2" s="165" t="s">
        <v>160</v>
      </c>
    </row>
    <row r="3" spans="1:8" ht="16.5" customHeight="1" x14ac:dyDescent="0.3">
      <c r="A3" s="347" t="s">
        <v>146</v>
      </c>
      <c r="B3" s="348"/>
      <c r="C3" s="131" t="s">
        <v>181</v>
      </c>
      <c r="D3" s="134">
        <f>D30+D31</f>
        <v>13728</v>
      </c>
      <c r="E3" s="131" t="s">
        <v>181</v>
      </c>
      <c r="F3" s="134">
        <f>F30+F31</f>
        <v>16385</v>
      </c>
      <c r="G3" s="187">
        <f>F3-D3</f>
        <v>2657</v>
      </c>
      <c r="H3" s="138">
        <f>G3/D3</f>
        <v>0.19354603729603731</v>
      </c>
    </row>
    <row r="4" spans="1:8" ht="16.5" customHeight="1" x14ac:dyDescent="0.3">
      <c r="A4" s="349"/>
      <c r="B4" s="350"/>
      <c r="C4" s="131" t="s">
        <v>182</v>
      </c>
      <c r="D4" s="168">
        <f>2744-1024</f>
        <v>1720</v>
      </c>
      <c r="E4" s="131" t="s">
        <v>182</v>
      </c>
      <c r="F4" s="168">
        <f>3458 -1024</f>
        <v>2434</v>
      </c>
      <c r="G4" s="187">
        <f t="shared" ref="G4:G11" si="0">F4-D4</f>
        <v>714</v>
      </c>
      <c r="H4" s="138">
        <f t="shared" ref="H4:H5" si="1">G4/D4</f>
        <v>0.41511627906976745</v>
      </c>
    </row>
    <row r="5" spans="1:8" ht="16.5" customHeight="1" x14ac:dyDescent="0.3">
      <c r="A5" s="351"/>
      <c r="B5" s="352"/>
      <c r="C5" s="131" t="s">
        <v>187</v>
      </c>
      <c r="D5" s="168">
        <f>SUM(D3+D4)</f>
        <v>15448</v>
      </c>
      <c r="E5" s="131" t="s">
        <v>187</v>
      </c>
      <c r="F5" s="168">
        <f>SUM(F3+F4)</f>
        <v>18819</v>
      </c>
      <c r="G5" s="187">
        <f t="shared" si="0"/>
        <v>3371</v>
      </c>
      <c r="H5" s="138">
        <f t="shared" si="1"/>
        <v>0.21821595028482652</v>
      </c>
    </row>
    <row r="6" spans="1:8" ht="16.5" customHeight="1" x14ac:dyDescent="0.3">
      <c r="A6" s="343" t="s">
        <v>150</v>
      </c>
      <c r="B6" s="344"/>
      <c r="C6" s="131" t="s">
        <v>181</v>
      </c>
      <c r="D6" s="134">
        <f>D34+D35</f>
        <v>14049</v>
      </c>
      <c r="E6" s="131" t="s">
        <v>147</v>
      </c>
      <c r="F6" s="134">
        <f>F34+F35</f>
        <v>17013</v>
      </c>
      <c r="G6" s="187">
        <f t="shared" si="0"/>
        <v>2964</v>
      </c>
      <c r="H6" s="138">
        <f t="shared" ref="H6:H11" si="2">((F6-D6)/D6)</f>
        <v>0.21097587016869529</v>
      </c>
    </row>
    <row r="7" spans="1:8" ht="16.5" customHeight="1" x14ac:dyDescent="0.3">
      <c r="A7" s="353"/>
      <c r="B7" s="354"/>
      <c r="C7" s="131" t="s">
        <v>182</v>
      </c>
      <c r="D7" s="168">
        <f>D36</f>
        <v>1360</v>
      </c>
      <c r="E7" s="131" t="s">
        <v>149</v>
      </c>
      <c r="F7" s="168">
        <f>4089-1024</f>
        <v>3065</v>
      </c>
      <c r="G7" s="187">
        <f t="shared" si="0"/>
        <v>1705</v>
      </c>
      <c r="H7" s="138">
        <f t="shared" si="2"/>
        <v>1.2536764705882353</v>
      </c>
    </row>
    <row r="8" spans="1:8" ht="16.5" customHeight="1" x14ac:dyDescent="0.3">
      <c r="A8" s="355"/>
      <c r="B8" s="356"/>
      <c r="C8" s="131" t="s">
        <v>187</v>
      </c>
      <c r="D8" s="168">
        <f>SUM(D6+D7)</f>
        <v>15409</v>
      </c>
      <c r="E8" s="131" t="s">
        <v>187</v>
      </c>
      <c r="F8" s="168">
        <f>SUM(F6+F7)</f>
        <v>20078</v>
      </c>
      <c r="G8" s="187">
        <f t="shared" si="0"/>
        <v>4669</v>
      </c>
      <c r="H8" s="138">
        <f t="shared" si="2"/>
        <v>0.30300473749107665</v>
      </c>
    </row>
    <row r="9" spans="1:8" ht="16.5" customHeight="1" x14ac:dyDescent="0.3">
      <c r="A9" s="457" t="s">
        <v>151</v>
      </c>
      <c r="B9" s="458"/>
      <c r="C9" s="131" t="s">
        <v>181</v>
      </c>
      <c r="D9" s="134">
        <f>D38+D39</f>
        <v>26177</v>
      </c>
      <c r="E9" s="131" t="s">
        <v>147</v>
      </c>
      <c r="F9" s="134">
        <f>F38+F39</f>
        <v>35025</v>
      </c>
      <c r="G9" s="187">
        <f t="shared" si="0"/>
        <v>8848</v>
      </c>
      <c r="H9" s="138">
        <f t="shared" si="2"/>
        <v>0.3380066470565764</v>
      </c>
    </row>
    <row r="10" spans="1:8" ht="16.5" customHeight="1" x14ac:dyDescent="0.3">
      <c r="A10" s="459"/>
      <c r="B10" s="460"/>
      <c r="C10" s="131" t="s">
        <v>182</v>
      </c>
      <c r="D10" s="168">
        <f>D40</f>
        <v>11859</v>
      </c>
      <c r="E10" s="131" t="s">
        <v>149</v>
      </c>
      <c r="F10" s="168">
        <f>F40</f>
        <v>13556</v>
      </c>
      <c r="G10" s="187">
        <f t="shared" si="0"/>
        <v>1697</v>
      </c>
      <c r="H10" s="138">
        <f t="shared" si="2"/>
        <v>0.14309806897714816</v>
      </c>
    </row>
    <row r="11" spans="1:8" ht="16.5" customHeight="1" x14ac:dyDescent="0.3">
      <c r="A11" s="489"/>
      <c r="B11" s="490"/>
      <c r="C11" s="131" t="s">
        <v>187</v>
      </c>
      <c r="D11" s="168">
        <f>SUM(D9+D10)</f>
        <v>38036</v>
      </c>
      <c r="E11" s="131" t="s">
        <v>187</v>
      </c>
      <c r="F11" s="168">
        <f>SUM(F9+F10)</f>
        <v>48581</v>
      </c>
      <c r="G11" s="187">
        <f t="shared" si="0"/>
        <v>10545</v>
      </c>
      <c r="H11" s="138">
        <f t="shared" si="2"/>
        <v>0.27723735408560313</v>
      </c>
    </row>
    <row r="12" spans="1:8" ht="15" customHeight="1" x14ac:dyDescent="0.25"/>
    <row r="13" spans="1:8" ht="18.75" x14ac:dyDescent="0.3">
      <c r="A13" s="360" t="s">
        <v>137</v>
      </c>
      <c r="B13" s="360"/>
      <c r="C13" s="361" t="s">
        <v>231</v>
      </c>
      <c r="D13" s="362"/>
      <c r="E13" s="362"/>
      <c r="F13" s="363"/>
      <c r="G13" s="364" t="s">
        <v>140</v>
      </c>
      <c r="H13" s="365"/>
    </row>
    <row r="14" spans="1:8" ht="18.75" x14ac:dyDescent="0.3">
      <c r="A14" s="360"/>
      <c r="B14" s="360"/>
      <c r="C14" s="366" t="s">
        <v>228</v>
      </c>
      <c r="D14" s="456"/>
      <c r="E14" s="366" t="s">
        <v>229</v>
      </c>
      <c r="F14" s="456"/>
      <c r="G14" s="165" t="s">
        <v>230</v>
      </c>
      <c r="H14" s="165" t="s">
        <v>160</v>
      </c>
    </row>
    <row r="15" spans="1:8" ht="16.5" x14ac:dyDescent="0.3">
      <c r="A15" s="347" t="s">
        <v>146</v>
      </c>
      <c r="B15" s="348"/>
      <c r="C15" s="131" t="s">
        <v>181</v>
      </c>
      <c r="D15" s="134">
        <f>D53+D54</f>
        <v>12282</v>
      </c>
      <c r="E15" s="131" t="s">
        <v>181</v>
      </c>
      <c r="F15" s="134">
        <f>F53+F54</f>
        <v>11825</v>
      </c>
      <c r="G15" s="187">
        <f>F15-D15</f>
        <v>-457</v>
      </c>
      <c r="H15" s="138">
        <f>G15/D15</f>
        <v>-3.7208923628073605E-2</v>
      </c>
    </row>
    <row r="16" spans="1:8" ht="16.5" x14ac:dyDescent="0.3">
      <c r="A16" s="349"/>
      <c r="B16" s="350"/>
      <c r="C16" s="131" t="s">
        <v>182</v>
      </c>
      <c r="D16" s="168">
        <f>D55</f>
        <v>1608</v>
      </c>
      <c r="E16" s="131" t="s">
        <v>182</v>
      </c>
      <c r="F16" s="168">
        <f>F55</f>
        <v>2434</v>
      </c>
      <c r="G16" s="187">
        <f t="shared" ref="G16:G23" si="3">F16-D16</f>
        <v>826</v>
      </c>
      <c r="H16" s="138">
        <f t="shared" ref="H16:H17" si="4">G16/D16</f>
        <v>0.51368159203980102</v>
      </c>
    </row>
    <row r="17" spans="1:13" ht="16.5" x14ac:dyDescent="0.3">
      <c r="A17" s="351"/>
      <c r="B17" s="352"/>
      <c r="C17" s="131" t="s">
        <v>187</v>
      </c>
      <c r="D17" s="168">
        <f>SUM(D15+D16)</f>
        <v>13890</v>
      </c>
      <c r="E17" s="131" t="s">
        <v>187</v>
      </c>
      <c r="F17" s="168">
        <f>SUM(F15+F16)</f>
        <v>14259</v>
      </c>
      <c r="G17" s="187">
        <f t="shared" si="3"/>
        <v>369</v>
      </c>
      <c r="H17" s="138">
        <f t="shared" si="4"/>
        <v>2.6565874730021598E-2</v>
      </c>
    </row>
    <row r="18" spans="1:13" ht="16.5" x14ac:dyDescent="0.3">
      <c r="A18" s="343" t="s">
        <v>150</v>
      </c>
      <c r="B18" s="344"/>
      <c r="C18" s="131" t="s">
        <v>181</v>
      </c>
      <c r="D18" s="134">
        <f>D57+D58</f>
        <v>12587</v>
      </c>
      <c r="E18" s="131" t="s">
        <v>147</v>
      </c>
      <c r="F18" s="134">
        <f>F57+F58</f>
        <v>12453</v>
      </c>
      <c r="G18" s="187">
        <f t="shared" si="3"/>
        <v>-134</v>
      </c>
      <c r="H18" s="138">
        <f t="shared" ref="H18:H23" si="5">((F18-D18)/D18)</f>
        <v>-1.0645904504647653E-2</v>
      </c>
    </row>
    <row r="19" spans="1:13" ht="16.5" x14ac:dyDescent="0.3">
      <c r="A19" s="353"/>
      <c r="B19" s="354"/>
      <c r="C19" s="131" t="s">
        <v>182</v>
      </c>
      <c r="D19" s="168">
        <f>D59</f>
        <v>1352</v>
      </c>
      <c r="E19" s="131" t="s">
        <v>149</v>
      </c>
      <c r="F19" s="168">
        <f>F59</f>
        <v>3065</v>
      </c>
      <c r="G19" s="187">
        <f t="shared" si="3"/>
        <v>1713</v>
      </c>
      <c r="H19" s="138">
        <f t="shared" si="5"/>
        <v>1.2670118343195267</v>
      </c>
    </row>
    <row r="20" spans="1:13" ht="16.5" x14ac:dyDescent="0.3">
      <c r="A20" s="355"/>
      <c r="B20" s="356"/>
      <c r="C20" s="131" t="s">
        <v>187</v>
      </c>
      <c r="D20" s="168">
        <f>SUM(D18+D19)</f>
        <v>13939</v>
      </c>
      <c r="E20" s="131" t="s">
        <v>187</v>
      </c>
      <c r="F20" s="168">
        <f>SUM(F18+F19)</f>
        <v>15518</v>
      </c>
      <c r="G20" s="187">
        <f t="shared" si="3"/>
        <v>1579</v>
      </c>
      <c r="H20" s="138">
        <f t="shared" si="5"/>
        <v>0.11327928832771361</v>
      </c>
    </row>
    <row r="21" spans="1:13" ht="16.5" x14ac:dyDescent="0.3">
      <c r="A21" s="457" t="s">
        <v>151</v>
      </c>
      <c r="B21" s="458"/>
      <c r="C21" s="131" t="s">
        <v>181</v>
      </c>
      <c r="D21" s="134">
        <f>D61+D62</f>
        <v>24584</v>
      </c>
      <c r="E21" s="131" t="s">
        <v>147</v>
      </c>
      <c r="F21" s="134">
        <f>F61+F62</f>
        <v>27841</v>
      </c>
      <c r="G21" s="187">
        <f t="shared" si="3"/>
        <v>3257</v>
      </c>
      <c r="H21" s="138">
        <f t="shared" si="5"/>
        <v>0.13248454279205987</v>
      </c>
    </row>
    <row r="22" spans="1:13" ht="16.5" x14ac:dyDescent="0.3">
      <c r="A22" s="459"/>
      <c r="B22" s="460"/>
      <c r="C22" s="131" t="s">
        <v>182</v>
      </c>
      <c r="D22" s="168">
        <f>D63</f>
        <v>11747</v>
      </c>
      <c r="E22" s="131" t="s">
        <v>149</v>
      </c>
      <c r="F22" s="168">
        <f>F63</f>
        <v>13556</v>
      </c>
      <c r="G22" s="187">
        <f t="shared" si="3"/>
        <v>1809</v>
      </c>
      <c r="H22" s="138">
        <f t="shared" si="5"/>
        <v>0.15399676513152294</v>
      </c>
    </row>
    <row r="23" spans="1:13" ht="16.5" x14ac:dyDescent="0.3">
      <c r="A23" s="489"/>
      <c r="B23" s="490"/>
      <c r="C23" s="131" t="s">
        <v>187</v>
      </c>
      <c r="D23" s="168">
        <f>SUM(D21+D22)</f>
        <v>36331</v>
      </c>
      <c r="E23" s="131" t="s">
        <v>187</v>
      </c>
      <c r="F23" s="168">
        <f>SUM(F21+F22)</f>
        <v>41397</v>
      </c>
      <c r="G23" s="187">
        <f t="shared" si="3"/>
        <v>5066</v>
      </c>
      <c r="H23" s="138">
        <f t="shared" si="5"/>
        <v>0.13944014753241032</v>
      </c>
    </row>
    <row r="28" spans="1:13" ht="18.75" x14ac:dyDescent="0.3">
      <c r="A28" s="360" t="s">
        <v>137</v>
      </c>
      <c r="B28" s="360"/>
      <c r="C28" s="366" t="s">
        <v>228</v>
      </c>
      <c r="D28" s="456"/>
      <c r="E28" s="366" t="s">
        <v>229</v>
      </c>
      <c r="F28" s="456"/>
      <c r="G28" s="186" t="s">
        <v>140</v>
      </c>
      <c r="H28" s="218"/>
    </row>
    <row r="29" spans="1:13" ht="18.75" x14ac:dyDescent="0.3">
      <c r="A29" s="360"/>
      <c r="B29" s="360"/>
      <c r="C29" s="366" t="s">
        <v>143</v>
      </c>
      <c r="D29" s="366"/>
      <c r="E29" s="366" t="s">
        <v>141</v>
      </c>
      <c r="F29" s="366"/>
      <c r="G29" s="165" t="s">
        <v>230</v>
      </c>
      <c r="H29" s="165" t="s">
        <v>160</v>
      </c>
      <c r="J29" s="493" t="s">
        <v>232</v>
      </c>
      <c r="K29" s="494"/>
      <c r="L29" s="495"/>
      <c r="M29" s="491" t="s">
        <v>233</v>
      </c>
    </row>
    <row r="30" spans="1:13" ht="18.75" x14ac:dyDescent="0.3">
      <c r="A30" s="347" t="s">
        <v>146</v>
      </c>
      <c r="B30" s="348"/>
      <c r="C30" s="131" t="s">
        <v>147</v>
      </c>
      <c r="D30" s="134">
        <v>13226</v>
      </c>
      <c r="E30" s="131" t="s">
        <v>147</v>
      </c>
      <c r="F30" s="134">
        <v>16034</v>
      </c>
      <c r="G30" s="187">
        <f t="shared" ref="G30:G41" si="6">F30-D30</f>
        <v>2808</v>
      </c>
      <c r="H30" s="138">
        <f>G30/D30</f>
        <v>0.21230908815968547</v>
      </c>
      <c r="J30" s="224" t="s">
        <v>234</v>
      </c>
      <c r="K30" s="142" t="s">
        <v>228</v>
      </c>
      <c r="L30" s="142" t="s">
        <v>235</v>
      </c>
      <c r="M30" s="492"/>
    </row>
    <row r="31" spans="1:13" ht="18.75" x14ac:dyDescent="0.3">
      <c r="A31" s="349"/>
      <c r="B31" s="350"/>
      <c r="C31" s="131" t="s">
        <v>148</v>
      </c>
      <c r="D31" s="235">
        <v>502</v>
      </c>
      <c r="E31" s="131" t="s">
        <v>148</v>
      </c>
      <c r="F31" s="135">
        <v>351</v>
      </c>
      <c r="G31" s="187">
        <f t="shared" si="6"/>
        <v>-151</v>
      </c>
      <c r="H31" s="138">
        <f>G31/D31</f>
        <v>-0.30079681274900399</v>
      </c>
      <c r="J31" s="173" t="s">
        <v>146</v>
      </c>
      <c r="K31" s="223">
        <f>F80+F81</f>
        <v>1558</v>
      </c>
      <c r="L31" s="131">
        <f>F76+F77</f>
        <v>4560</v>
      </c>
      <c r="M31" s="225">
        <f>L31/K31</f>
        <v>2.9268292682926829</v>
      </c>
    </row>
    <row r="32" spans="1:13" ht="18.75" x14ac:dyDescent="0.3">
      <c r="A32" s="349"/>
      <c r="B32" s="350"/>
      <c r="C32" s="131" t="s">
        <v>149</v>
      </c>
      <c r="D32" s="168">
        <f>2744-1024</f>
        <v>1720</v>
      </c>
      <c r="E32" s="131" t="s">
        <v>149</v>
      </c>
      <c r="F32" s="168">
        <f>3458 -1024</f>
        <v>2434</v>
      </c>
      <c r="G32" s="187">
        <f t="shared" si="6"/>
        <v>714</v>
      </c>
      <c r="H32" s="138">
        <f>G32/D32</f>
        <v>0.41511627906976745</v>
      </c>
      <c r="J32" s="171" t="s">
        <v>150</v>
      </c>
      <c r="K32" s="131">
        <f>F90+F91</f>
        <v>1470</v>
      </c>
      <c r="L32" s="131">
        <f>F86+F87</f>
        <v>4560</v>
      </c>
      <c r="M32" s="225">
        <f t="shared" ref="M32:M33" si="7">L32/K32</f>
        <v>3.1020408163265305</v>
      </c>
    </row>
    <row r="33" spans="1:13" ht="18.75" x14ac:dyDescent="0.3">
      <c r="A33" s="351"/>
      <c r="B33" s="352"/>
      <c r="C33" s="131" t="s">
        <v>187</v>
      </c>
      <c r="D33" s="168">
        <f>SUM(D30+D31+D32)</f>
        <v>15448</v>
      </c>
      <c r="E33" s="131" t="s">
        <v>187</v>
      </c>
      <c r="F33" s="168">
        <f>SUM(F30+F31+F32)</f>
        <v>18819</v>
      </c>
      <c r="G33" s="187">
        <f t="shared" si="6"/>
        <v>3371</v>
      </c>
      <c r="H33" s="138">
        <f>G33/D33</f>
        <v>0.21821595028482652</v>
      </c>
      <c r="J33" s="170" t="s">
        <v>151</v>
      </c>
      <c r="K33" s="131">
        <f>F99+F100+F101</f>
        <v>1705</v>
      </c>
      <c r="L33" s="131">
        <f>F95+F96</f>
        <v>7184</v>
      </c>
      <c r="M33" s="225">
        <f t="shared" si="7"/>
        <v>4.2134897360703816</v>
      </c>
    </row>
    <row r="34" spans="1:13" ht="16.5" x14ac:dyDescent="0.3">
      <c r="A34" s="343" t="s">
        <v>150</v>
      </c>
      <c r="B34" s="344"/>
      <c r="C34" s="131" t="s">
        <v>147</v>
      </c>
      <c r="D34" s="235">
        <v>13516</v>
      </c>
      <c r="E34" s="131" t="s">
        <v>147</v>
      </c>
      <c r="F34" s="134">
        <v>16682</v>
      </c>
      <c r="G34" s="187">
        <f t="shared" si="6"/>
        <v>3166</v>
      </c>
      <c r="H34" s="138">
        <f t="shared" ref="H34:H41" si="8">((F34-D34)/D34)</f>
        <v>0.23424089967445991</v>
      </c>
    </row>
    <row r="35" spans="1:13" ht="16.5" x14ac:dyDescent="0.3">
      <c r="A35" s="353"/>
      <c r="B35" s="354"/>
      <c r="C35" s="131" t="s">
        <v>148</v>
      </c>
      <c r="D35" s="235">
        <v>533</v>
      </c>
      <c r="E35" s="131" t="s">
        <v>148</v>
      </c>
      <c r="F35" s="135">
        <v>331</v>
      </c>
      <c r="G35" s="187">
        <f t="shared" si="6"/>
        <v>-202</v>
      </c>
      <c r="H35" s="138">
        <f t="shared" si="8"/>
        <v>-0.37898686679174481</v>
      </c>
    </row>
    <row r="36" spans="1:13" ht="16.5" x14ac:dyDescent="0.3">
      <c r="A36" s="353"/>
      <c r="B36" s="354"/>
      <c r="C36" s="131" t="s">
        <v>149</v>
      </c>
      <c r="D36" s="236">
        <f>2384-1024</f>
        <v>1360</v>
      </c>
      <c r="E36" s="131" t="s">
        <v>149</v>
      </c>
      <c r="F36" s="168">
        <f>4089-1024</f>
        <v>3065</v>
      </c>
      <c r="G36" s="187">
        <f t="shared" si="6"/>
        <v>1705</v>
      </c>
      <c r="H36" s="138">
        <f t="shared" si="8"/>
        <v>1.2536764705882353</v>
      </c>
    </row>
    <row r="37" spans="1:13" ht="16.5" x14ac:dyDescent="0.3">
      <c r="A37" s="355"/>
      <c r="B37" s="356"/>
      <c r="C37" s="131" t="s">
        <v>187</v>
      </c>
      <c r="D37" s="168">
        <f>SUM(D34+D35+D36)</f>
        <v>15409</v>
      </c>
      <c r="E37" s="131" t="s">
        <v>187</v>
      </c>
      <c r="F37" s="168">
        <f>SUM(F34+F35+F36)</f>
        <v>20078</v>
      </c>
      <c r="G37" s="187">
        <f t="shared" si="6"/>
        <v>4669</v>
      </c>
      <c r="H37" s="138">
        <f t="shared" si="8"/>
        <v>0.30300473749107665</v>
      </c>
    </row>
    <row r="38" spans="1:13" ht="16.5" x14ac:dyDescent="0.3">
      <c r="A38" s="467" t="s">
        <v>151</v>
      </c>
      <c r="B38" s="467"/>
      <c r="C38" s="131" t="s">
        <v>147</v>
      </c>
      <c r="D38" s="134">
        <v>25820</v>
      </c>
      <c r="E38" s="131" t="s">
        <v>147</v>
      </c>
      <c r="F38" s="134">
        <v>33296</v>
      </c>
      <c r="G38" s="187">
        <f t="shared" si="6"/>
        <v>7476</v>
      </c>
      <c r="H38" s="138">
        <f t="shared" si="8"/>
        <v>0.2895429899302866</v>
      </c>
    </row>
    <row r="39" spans="1:13" ht="16.5" x14ac:dyDescent="0.3">
      <c r="A39" s="467"/>
      <c r="B39" s="467"/>
      <c r="C39" s="131" t="s">
        <v>148</v>
      </c>
      <c r="D39" s="134">
        <v>357</v>
      </c>
      <c r="E39" s="131" t="s">
        <v>148</v>
      </c>
      <c r="F39">
        <v>1729</v>
      </c>
      <c r="G39" s="187">
        <f t="shared" si="6"/>
        <v>1372</v>
      </c>
      <c r="H39" s="138">
        <f>((F39-D39)/D39)</f>
        <v>3.8431372549019609</v>
      </c>
    </row>
    <row r="40" spans="1:13" ht="16.5" x14ac:dyDescent="0.3">
      <c r="A40" s="467"/>
      <c r="B40" s="467"/>
      <c r="C40" s="131" t="s">
        <v>149</v>
      </c>
      <c r="D40" s="236">
        <f>20051-8192</f>
        <v>11859</v>
      </c>
      <c r="E40" s="131" t="s">
        <v>149</v>
      </c>
      <c r="F40" s="236">
        <f>21748-8192</f>
        <v>13556</v>
      </c>
      <c r="G40" s="187">
        <f t="shared" si="6"/>
        <v>1697</v>
      </c>
      <c r="H40" s="138">
        <f t="shared" si="8"/>
        <v>0.14309806897714816</v>
      </c>
    </row>
    <row r="41" spans="1:13" ht="16.5" x14ac:dyDescent="0.3">
      <c r="A41" s="467"/>
      <c r="B41" s="467"/>
      <c r="C41" s="131" t="s">
        <v>187</v>
      </c>
      <c r="D41" s="168">
        <f>SUM(D38+D39+D40)</f>
        <v>38036</v>
      </c>
      <c r="E41" s="131" t="s">
        <v>187</v>
      </c>
      <c r="F41" s="168">
        <f>SUM(F38+F39+F40)</f>
        <v>48581</v>
      </c>
      <c r="G41" s="187">
        <f t="shared" si="6"/>
        <v>10545</v>
      </c>
      <c r="H41" s="138">
        <f t="shared" si="8"/>
        <v>0.27723735408560313</v>
      </c>
    </row>
    <row r="46" spans="1:13" ht="15" customHeight="1" x14ac:dyDescent="0.25"/>
    <row r="47" spans="1:13" ht="15" customHeight="1" x14ac:dyDescent="0.25"/>
    <row r="49" spans="1:8" x14ac:dyDescent="0.25">
      <c r="C49" s="503" t="s">
        <v>236</v>
      </c>
      <c r="D49" s="504"/>
      <c r="E49" s="504"/>
      <c r="F49" s="504"/>
      <c r="G49" s="504"/>
      <c r="H49" s="505"/>
    </row>
    <row r="50" spans="1:8" x14ac:dyDescent="0.25">
      <c r="C50" s="506"/>
      <c r="D50" s="507"/>
      <c r="E50" s="507"/>
      <c r="F50" s="507"/>
      <c r="G50" s="507"/>
      <c r="H50" s="508"/>
    </row>
    <row r="51" spans="1:8" ht="15" customHeight="1" x14ac:dyDescent="0.3">
      <c r="A51" s="364" t="s">
        <v>137</v>
      </c>
      <c r="B51" s="365"/>
      <c r="C51" s="366" t="s">
        <v>228</v>
      </c>
      <c r="D51" s="366"/>
      <c r="E51" s="366" t="s">
        <v>229</v>
      </c>
      <c r="F51" s="366"/>
      <c r="G51" s="190" t="s">
        <v>140</v>
      </c>
      <c r="H51" s="190"/>
    </row>
    <row r="52" spans="1:8" ht="15" customHeight="1" x14ac:dyDescent="0.3">
      <c r="A52" s="357"/>
      <c r="B52" s="359"/>
      <c r="C52" s="366" t="s">
        <v>143</v>
      </c>
      <c r="D52" s="366"/>
      <c r="E52" s="366" t="s">
        <v>141</v>
      </c>
      <c r="F52" s="366"/>
      <c r="G52" s="190"/>
      <c r="H52" s="190"/>
    </row>
    <row r="53" spans="1:8" ht="16.5" x14ac:dyDescent="0.3">
      <c r="A53" s="347" t="s">
        <v>146</v>
      </c>
      <c r="B53" s="348"/>
      <c r="C53" s="131" t="s">
        <v>147</v>
      </c>
      <c r="D53" s="134">
        <f>D30-C80-C81</f>
        <v>11854</v>
      </c>
      <c r="E53" s="131" t="s">
        <v>147</v>
      </c>
      <c r="F53" s="134">
        <f>F30-C76-C77</f>
        <v>11474</v>
      </c>
      <c r="G53" s="191">
        <f t="shared" ref="G53:G64" si="9">F53-D53</f>
        <v>-380</v>
      </c>
      <c r="H53" s="138">
        <f>G53/D53</f>
        <v>-3.2056689724987347E-2</v>
      </c>
    </row>
    <row r="54" spans="1:8" ht="16.5" x14ac:dyDescent="0.3">
      <c r="A54" s="349"/>
      <c r="B54" s="350"/>
      <c r="C54" s="131" t="s">
        <v>148</v>
      </c>
      <c r="D54" s="134">
        <f>D31-D80</f>
        <v>428</v>
      </c>
      <c r="E54" s="131" t="s">
        <v>148</v>
      </c>
      <c r="F54" s="135">
        <f>F31</f>
        <v>351</v>
      </c>
      <c r="G54" s="191">
        <f t="shared" si="9"/>
        <v>-77</v>
      </c>
      <c r="H54" s="138">
        <f>G54/D54</f>
        <v>-0.17990654205607476</v>
      </c>
    </row>
    <row r="55" spans="1:8" ht="16.5" x14ac:dyDescent="0.3">
      <c r="A55" s="349"/>
      <c r="B55" s="350"/>
      <c r="C55" s="131" t="s">
        <v>149</v>
      </c>
      <c r="D55" s="168">
        <f>D32-E80</f>
        <v>1608</v>
      </c>
      <c r="E55" s="131" t="s">
        <v>149</v>
      </c>
      <c r="F55" s="168">
        <f>F32</f>
        <v>2434</v>
      </c>
      <c r="G55" s="191">
        <f t="shared" si="9"/>
        <v>826</v>
      </c>
      <c r="H55" s="138">
        <f>G55/D55</f>
        <v>0.51368159203980102</v>
      </c>
    </row>
    <row r="56" spans="1:8" ht="16.5" x14ac:dyDescent="0.3">
      <c r="A56" s="351"/>
      <c r="B56" s="352"/>
      <c r="C56" s="131" t="s">
        <v>187</v>
      </c>
      <c r="D56" s="168">
        <f>SUM(D53+D54+D55)</f>
        <v>13890</v>
      </c>
      <c r="E56" s="131" t="s">
        <v>187</v>
      </c>
      <c r="F56" s="168">
        <f>SUM(F53+F54+F55)</f>
        <v>14259</v>
      </c>
      <c r="G56" s="191">
        <f t="shared" si="9"/>
        <v>369</v>
      </c>
      <c r="H56" s="138">
        <f>G56/D56</f>
        <v>2.6565874730021598E-2</v>
      </c>
    </row>
    <row r="57" spans="1:8" ht="16.5" x14ac:dyDescent="0.3">
      <c r="A57" s="343" t="s">
        <v>150</v>
      </c>
      <c r="B57" s="344"/>
      <c r="C57" s="131" t="s">
        <v>147</v>
      </c>
      <c r="D57" s="134">
        <f>D34-C90-C91</f>
        <v>12096</v>
      </c>
      <c r="E57" s="131" t="s">
        <v>147</v>
      </c>
      <c r="F57" s="134">
        <f>F34-C86-C87</f>
        <v>12122</v>
      </c>
      <c r="G57" s="191">
        <f t="shared" si="9"/>
        <v>26</v>
      </c>
      <c r="H57" s="138">
        <f t="shared" ref="H57:H64" si="10">((F57-D57)/D57)</f>
        <v>2.1494708994708994E-3</v>
      </c>
    </row>
    <row r="58" spans="1:8" ht="16.5" x14ac:dyDescent="0.3">
      <c r="A58" s="353"/>
      <c r="B58" s="354"/>
      <c r="C58" s="131" t="s">
        <v>148</v>
      </c>
      <c r="D58" s="134">
        <f>D35-D90-D91</f>
        <v>491</v>
      </c>
      <c r="E58" s="131" t="s">
        <v>148</v>
      </c>
      <c r="F58" s="135">
        <f>F35</f>
        <v>331</v>
      </c>
      <c r="G58" s="191">
        <f t="shared" si="9"/>
        <v>-160</v>
      </c>
      <c r="H58" s="138">
        <f t="shared" si="10"/>
        <v>-0.32586558044806518</v>
      </c>
    </row>
    <row r="59" spans="1:8" ht="16.5" x14ac:dyDescent="0.3">
      <c r="A59" s="353"/>
      <c r="B59" s="354"/>
      <c r="C59" s="131" t="s">
        <v>149</v>
      </c>
      <c r="D59" s="168">
        <f>D36-E90-E91</f>
        <v>1352</v>
      </c>
      <c r="E59" s="131" t="s">
        <v>149</v>
      </c>
      <c r="F59" s="168">
        <f>F36</f>
        <v>3065</v>
      </c>
      <c r="G59" s="191">
        <f t="shared" si="9"/>
        <v>1713</v>
      </c>
      <c r="H59" s="138">
        <f t="shared" si="10"/>
        <v>1.2670118343195267</v>
      </c>
    </row>
    <row r="60" spans="1:8" ht="16.5" x14ac:dyDescent="0.3">
      <c r="A60" s="355"/>
      <c r="B60" s="356"/>
      <c r="C60" s="131" t="s">
        <v>187</v>
      </c>
      <c r="D60" s="168">
        <f>SUM(D57+D58+D59)</f>
        <v>13939</v>
      </c>
      <c r="E60" s="131" t="s">
        <v>187</v>
      </c>
      <c r="F60" s="168">
        <f>SUM(F57+F58+F59)</f>
        <v>15518</v>
      </c>
      <c r="G60" s="191">
        <f t="shared" si="9"/>
        <v>1579</v>
      </c>
      <c r="H60" s="138">
        <f t="shared" si="10"/>
        <v>0.11327928832771361</v>
      </c>
    </row>
    <row r="61" spans="1:8" ht="16.5" x14ac:dyDescent="0.3">
      <c r="A61" s="457" t="s">
        <v>151</v>
      </c>
      <c r="B61" s="458"/>
      <c r="C61" s="131" t="s">
        <v>147</v>
      </c>
      <c r="D61" s="134">
        <f>D38-C99-C100-C101</f>
        <v>24304</v>
      </c>
      <c r="E61" s="131" t="s">
        <v>147</v>
      </c>
      <c r="F61" s="134">
        <f>F38-C95-C96</f>
        <v>26112</v>
      </c>
      <c r="G61" s="191">
        <f t="shared" si="9"/>
        <v>1808</v>
      </c>
      <c r="H61" s="138">
        <f t="shared" si="10"/>
        <v>7.4391046741277153E-2</v>
      </c>
    </row>
    <row r="62" spans="1:8" ht="16.5" x14ac:dyDescent="0.3">
      <c r="A62" s="459"/>
      <c r="B62" s="460"/>
      <c r="C62" s="131" t="s">
        <v>148</v>
      </c>
      <c r="D62" s="134">
        <f>D39-D99-D100-D101</f>
        <v>280</v>
      </c>
      <c r="E62" s="131" t="s">
        <v>148</v>
      </c>
      <c r="F62" s="134">
        <f>F39</f>
        <v>1729</v>
      </c>
      <c r="G62" s="191">
        <f t="shared" si="9"/>
        <v>1449</v>
      </c>
      <c r="H62" s="138">
        <f t="shared" si="10"/>
        <v>5.1749999999999998</v>
      </c>
    </row>
    <row r="63" spans="1:8" ht="16.5" x14ac:dyDescent="0.3">
      <c r="A63" s="459"/>
      <c r="B63" s="460"/>
      <c r="C63" s="131" t="s">
        <v>149</v>
      </c>
      <c r="D63" s="168">
        <f>D40-E99-E100-E101</f>
        <v>11747</v>
      </c>
      <c r="E63" s="131" t="s">
        <v>149</v>
      </c>
      <c r="F63" s="168">
        <f>F10</f>
        <v>13556</v>
      </c>
      <c r="G63" s="191">
        <f t="shared" si="9"/>
        <v>1809</v>
      </c>
      <c r="H63" s="138">
        <f t="shared" si="10"/>
        <v>0.15399676513152294</v>
      </c>
    </row>
    <row r="64" spans="1:8" ht="16.5" x14ac:dyDescent="0.3">
      <c r="A64" s="489"/>
      <c r="B64" s="490"/>
      <c r="C64" s="131" t="s">
        <v>187</v>
      </c>
      <c r="D64" s="168">
        <f>SUM(D61+D62+D63)</f>
        <v>36331</v>
      </c>
      <c r="E64" s="131" t="s">
        <v>187</v>
      </c>
      <c r="F64" s="168">
        <f>SUM(F61+F62+F63)</f>
        <v>41397</v>
      </c>
      <c r="G64" s="191">
        <f t="shared" si="9"/>
        <v>5066</v>
      </c>
      <c r="H64" s="138">
        <f t="shared" si="10"/>
        <v>0.13944014753241032</v>
      </c>
    </row>
    <row r="65" spans="1:9" x14ac:dyDescent="0.25">
      <c r="A65" s="192"/>
      <c r="B65" s="192"/>
    </row>
    <row r="66" spans="1:9" ht="21" x14ac:dyDescent="0.35">
      <c r="A66" s="360" t="s">
        <v>137</v>
      </c>
      <c r="B66" s="360" t="s">
        <v>152</v>
      </c>
      <c r="C66" s="366" t="s">
        <v>228</v>
      </c>
      <c r="D66" s="366"/>
      <c r="E66" s="366" t="s">
        <v>235</v>
      </c>
      <c r="F66" s="366"/>
      <c r="G66" s="496" t="s">
        <v>280</v>
      </c>
      <c r="H66" s="497"/>
      <c r="I66" s="498"/>
    </row>
    <row r="67" spans="1:9" ht="18.75" x14ac:dyDescent="0.3">
      <c r="A67" s="466"/>
      <c r="B67" s="360"/>
      <c r="C67" s="130" t="s">
        <v>156</v>
      </c>
      <c r="D67" s="130" t="s">
        <v>157</v>
      </c>
      <c r="E67" s="130" t="s">
        <v>156</v>
      </c>
      <c r="F67" s="130" t="s">
        <v>157</v>
      </c>
      <c r="G67" s="130" t="s">
        <v>158</v>
      </c>
      <c r="H67" s="130" t="s">
        <v>159</v>
      </c>
      <c r="I67" s="130" t="s">
        <v>160</v>
      </c>
    </row>
    <row r="68" spans="1:9" ht="18.75" x14ac:dyDescent="0.25">
      <c r="A68" s="188" t="s">
        <v>146</v>
      </c>
      <c r="B68" s="132" t="s">
        <v>237</v>
      </c>
      <c r="C68" s="132">
        <v>763294</v>
      </c>
      <c r="D68" s="133">
        <f>C68/150000</f>
        <v>5.0886266666666664</v>
      </c>
      <c r="E68" s="132">
        <v>1498600</v>
      </c>
      <c r="F68" s="133">
        <f>E68/150000</f>
        <v>9.9906666666666659</v>
      </c>
      <c r="G68" s="140">
        <f>E68-C68</f>
        <v>735306</v>
      </c>
      <c r="H68" s="140">
        <f>G68/150000</f>
        <v>4.9020400000000004</v>
      </c>
      <c r="I68" s="141">
        <f>H68/D68</f>
        <v>0.96333260840514934</v>
      </c>
    </row>
    <row r="69" spans="1:9" ht="18.75" x14ac:dyDescent="0.25">
      <c r="A69" s="189" t="s">
        <v>150</v>
      </c>
      <c r="B69" s="132" t="s">
        <v>237</v>
      </c>
      <c r="C69" s="132">
        <v>752295</v>
      </c>
      <c r="D69" s="133">
        <f t="shared" ref="D69:F70" si="11">C69/150000</f>
        <v>5.0152999999999999</v>
      </c>
      <c r="E69" s="132">
        <v>1499181</v>
      </c>
      <c r="F69" s="133">
        <f t="shared" si="11"/>
        <v>9.9945400000000006</v>
      </c>
      <c r="G69" s="140">
        <f>E69-C69</f>
        <v>746886</v>
      </c>
      <c r="H69" s="140">
        <f t="shared" ref="H69:H70" si="12">G69/150000</f>
        <v>4.9792399999999999</v>
      </c>
      <c r="I69" s="141">
        <f t="shared" ref="I69:I70" si="13">H69/D69</f>
        <v>0.99281000139572906</v>
      </c>
    </row>
    <row r="70" spans="1:9" ht="18.75" x14ac:dyDescent="0.25">
      <c r="A70" s="170" t="s">
        <v>151</v>
      </c>
      <c r="B70" s="132" t="s">
        <v>237</v>
      </c>
      <c r="C70" s="132">
        <f>2731+100*150000</f>
        <v>15002731</v>
      </c>
      <c r="D70" s="133">
        <f t="shared" si="11"/>
        <v>100.01820666666667</v>
      </c>
      <c r="E70" s="132">
        <v>16794860</v>
      </c>
      <c r="F70" s="133">
        <f t="shared" si="11"/>
        <v>111.96573333333333</v>
      </c>
      <c r="G70" s="140">
        <f>E70-C70</f>
        <v>1792129</v>
      </c>
      <c r="H70" s="140">
        <f t="shared" si="12"/>
        <v>11.947526666666667</v>
      </c>
      <c r="I70" s="141">
        <f t="shared" si="13"/>
        <v>0.11945351816279315</v>
      </c>
    </row>
    <row r="73" spans="1:9" ht="18.75" x14ac:dyDescent="0.25">
      <c r="A73" s="501" t="s">
        <v>146</v>
      </c>
      <c r="B73" s="502"/>
    </row>
    <row r="74" spans="1:9" ht="16.5" x14ac:dyDescent="0.3">
      <c r="A74" s="212" t="s">
        <v>238</v>
      </c>
      <c r="B74" s="230" t="s">
        <v>239</v>
      </c>
    </row>
    <row r="75" spans="1:9" ht="16.5" x14ac:dyDescent="0.25">
      <c r="A75" s="194" t="s">
        <v>240</v>
      </c>
      <c r="B75" s="193" t="s">
        <v>241</v>
      </c>
      <c r="C75" s="193" t="s">
        <v>242</v>
      </c>
      <c r="D75" s="193" t="s">
        <v>243</v>
      </c>
      <c r="E75" s="193" t="s">
        <v>244</v>
      </c>
      <c r="F75" s="195" t="s">
        <v>245</v>
      </c>
    </row>
    <row r="76" spans="1:9" x14ac:dyDescent="0.25">
      <c r="A76" s="196" t="s">
        <v>246</v>
      </c>
      <c r="B76" s="197" t="s">
        <v>247</v>
      </c>
      <c r="C76" s="198">
        <v>3008</v>
      </c>
      <c r="D76" s="198">
        <v>0</v>
      </c>
      <c r="E76" s="198">
        <v>0</v>
      </c>
      <c r="F76" s="199">
        <v>3008</v>
      </c>
    </row>
    <row r="77" spans="1:9" x14ac:dyDescent="0.25">
      <c r="A77" s="200" t="s">
        <v>248</v>
      </c>
      <c r="B77" s="201" t="s">
        <v>247</v>
      </c>
      <c r="C77" s="202">
        <v>1552</v>
      </c>
      <c r="D77" s="202">
        <v>0</v>
      </c>
      <c r="E77" s="202">
        <v>0</v>
      </c>
      <c r="F77" s="203">
        <v>1552</v>
      </c>
    </row>
    <row r="79" spans="1:9" ht="16.5" x14ac:dyDescent="0.3">
      <c r="A79" s="212" t="s">
        <v>238</v>
      </c>
      <c r="B79" s="230" t="s">
        <v>249</v>
      </c>
    </row>
    <row r="80" spans="1:9" x14ac:dyDescent="0.25">
      <c r="A80" s="204" t="s">
        <v>250</v>
      </c>
      <c r="B80" s="205" t="s">
        <v>247</v>
      </c>
      <c r="C80" s="206">
        <v>980</v>
      </c>
      <c r="D80" s="206">
        <v>74</v>
      </c>
      <c r="E80" s="206">
        <v>112</v>
      </c>
      <c r="F80" s="207">
        <v>1166</v>
      </c>
    </row>
    <row r="81" spans="1:6" x14ac:dyDescent="0.25">
      <c r="A81" s="208" t="s">
        <v>251</v>
      </c>
      <c r="B81" s="209" t="s">
        <v>247</v>
      </c>
      <c r="C81" s="210">
        <v>392</v>
      </c>
      <c r="D81" s="210">
        <v>0</v>
      </c>
      <c r="E81" s="210">
        <v>0</v>
      </c>
      <c r="F81" s="211">
        <v>392</v>
      </c>
    </row>
    <row r="83" spans="1:6" ht="18.75" x14ac:dyDescent="0.25">
      <c r="A83" s="473" t="s">
        <v>150</v>
      </c>
      <c r="B83" s="473"/>
    </row>
    <row r="84" spans="1:6" ht="16.5" x14ac:dyDescent="0.3">
      <c r="A84" s="212" t="s">
        <v>238</v>
      </c>
      <c r="B84" s="230" t="s">
        <v>239</v>
      </c>
    </row>
    <row r="85" spans="1:6" ht="16.5" x14ac:dyDescent="0.25">
      <c r="A85" s="194" t="s">
        <v>240</v>
      </c>
      <c r="B85" s="193" t="s">
        <v>241</v>
      </c>
      <c r="C85" s="193" t="s">
        <v>242</v>
      </c>
      <c r="D85" s="193" t="s">
        <v>243</v>
      </c>
      <c r="E85" s="193" t="s">
        <v>244</v>
      </c>
      <c r="F85" s="195" t="s">
        <v>245</v>
      </c>
    </row>
    <row r="86" spans="1:6" x14ac:dyDescent="0.25">
      <c r="A86" s="196" t="s">
        <v>246</v>
      </c>
      <c r="B86" s="197" t="s">
        <v>247</v>
      </c>
      <c r="C86" s="198">
        <v>3008</v>
      </c>
      <c r="D86" s="198">
        <v>0</v>
      </c>
      <c r="E86" s="198">
        <v>0</v>
      </c>
      <c r="F86" s="199">
        <v>3008</v>
      </c>
    </row>
    <row r="87" spans="1:6" x14ac:dyDescent="0.25">
      <c r="A87" s="200" t="s">
        <v>248</v>
      </c>
      <c r="B87" s="201" t="s">
        <v>247</v>
      </c>
      <c r="C87" s="202">
        <v>1552</v>
      </c>
      <c r="D87" s="202">
        <v>0</v>
      </c>
      <c r="E87" s="202">
        <v>0</v>
      </c>
      <c r="F87" s="203">
        <v>1552</v>
      </c>
    </row>
    <row r="89" spans="1:6" ht="16.5" x14ac:dyDescent="0.3">
      <c r="A89" s="213" t="s">
        <v>238</v>
      </c>
      <c r="B89" s="231" t="s">
        <v>249</v>
      </c>
    </row>
    <row r="90" spans="1:6" x14ac:dyDescent="0.25">
      <c r="A90" s="214" t="s">
        <v>250</v>
      </c>
      <c r="B90" s="215" t="s">
        <v>247</v>
      </c>
      <c r="C90" s="216">
        <v>1144</v>
      </c>
      <c r="D90" s="216">
        <v>8</v>
      </c>
      <c r="E90" s="216">
        <v>8</v>
      </c>
      <c r="F90" s="217">
        <v>1160</v>
      </c>
    </row>
    <row r="91" spans="1:6" x14ac:dyDescent="0.25">
      <c r="A91" s="200" t="s">
        <v>251</v>
      </c>
      <c r="B91" s="201" t="s">
        <v>247</v>
      </c>
      <c r="C91" s="202">
        <v>276</v>
      </c>
      <c r="D91" s="202">
        <v>34</v>
      </c>
      <c r="E91" s="202">
        <v>0</v>
      </c>
      <c r="F91" s="203">
        <v>310</v>
      </c>
    </row>
    <row r="93" spans="1:6" ht="18.75" x14ac:dyDescent="0.25">
      <c r="A93" s="459" t="s">
        <v>151</v>
      </c>
      <c r="B93" s="500"/>
    </row>
    <row r="94" spans="1:6" ht="16.5" x14ac:dyDescent="0.25">
      <c r="A94" s="194" t="s">
        <v>240</v>
      </c>
      <c r="B94" s="193" t="s">
        <v>241</v>
      </c>
      <c r="C94" s="193" t="s">
        <v>242</v>
      </c>
      <c r="D94" s="193" t="s">
        <v>243</v>
      </c>
      <c r="E94" s="193" t="s">
        <v>244</v>
      </c>
      <c r="F94" s="195" t="s">
        <v>245</v>
      </c>
    </row>
    <row r="95" spans="1:6" x14ac:dyDescent="0.25">
      <c r="A95" s="221" t="s">
        <v>246</v>
      </c>
      <c r="B95" s="219" t="s">
        <v>247</v>
      </c>
      <c r="C95" s="220">
        <v>3084</v>
      </c>
      <c r="D95" s="220">
        <v>0</v>
      </c>
      <c r="E95" s="220">
        <v>0</v>
      </c>
      <c r="F95" s="222">
        <v>3084</v>
      </c>
    </row>
    <row r="96" spans="1:6" x14ac:dyDescent="0.25">
      <c r="A96" s="200" t="s">
        <v>248</v>
      </c>
      <c r="B96" s="201" t="s">
        <v>247</v>
      </c>
      <c r="C96" s="202">
        <v>4100</v>
      </c>
      <c r="D96" s="202">
        <v>0</v>
      </c>
      <c r="E96" s="202">
        <v>0</v>
      </c>
      <c r="F96" s="203">
        <v>4100</v>
      </c>
    </row>
    <row r="98" spans="1:6" ht="16.5" x14ac:dyDescent="0.3">
      <c r="A98" s="213" t="s">
        <v>238</v>
      </c>
      <c r="B98" s="231" t="s">
        <v>249</v>
      </c>
    </row>
    <row r="99" spans="1:6" x14ac:dyDescent="0.25">
      <c r="A99" s="204" t="s">
        <v>250</v>
      </c>
      <c r="B99" s="205" t="s">
        <v>247</v>
      </c>
      <c r="C99" s="206">
        <v>1140</v>
      </c>
      <c r="D99" s="206">
        <v>1</v>
      </c>
      <c r="E99" s="206">
        <v>112</v>
      </c>
      <c r="F99" s="207">
        <v>1253</v>
      </c>
    </row>
    <row r="100" spans="1:6" x14ac:dyDescent="0.25">
      <c r="A100" s="221" t="s">
        <v>251</v>
      </c>
      <c r="B100" s="219" t="s">
        <v>247</v>
      </c>
      <c r="C100" s="220">
        <v>284</v>
      </c>
      <c r="D100" s="220">
        <v>0</v>
      </c>
      <c r="E100" s="220">
        <v>0</v>
      </c>
      <c r="F100" s="222">
        <v>284</v>
      </c>
    </row>
    <row r="101" spans="1:6" x14ac:dyDescent="0.25">
      <c r="A101" s="208" t="s">
        <v>252</v>
      </c>
      <c r="B101" s="209" t="s">
        <v>247</v>
      </c>
      <c r="C101" s="210">
        <v>92</v>
      </c>
      <c r="D101" s="210">
        <v>76</v>
      </c>
      <c r="E101" s="210">
        <v>0</v>
      </c>
      <c r="F101" s="211">
        <v>168</v>
      </c>
    </row>
    <row r="104" spans="1:6" x14ac:dyDescent="0.25">
      <c r="A104" s="226" t="s">
        <v>137</v>
      </c>
      <c r="B104" s="226"/>
      <c r="C104" s="511" t="s">
        <v>227</v>
      </c>
      <c r="D104" s="511"/>
    </row>
    <row r="105" spans="1:6" x14ac:dyDescent="0.25">
      <c r="A105" s="226"/>
      <c r="B105" s="226"/>
      <c r="C105" s="227" t="s">
        <v>181</v>
      </c>
      <c r="D105" s="227" t="s">
        <v>182</v>
      </c>
    </row>
    <row r="106" spans="1:6" x14ac:dyDescent="0.25">
      <c r="A106" s="499" t="s">
        <v>146</v>
      </c>
      <c r="B106" s="228" t="s">
        <v>228</v>
      </c>
      <c r="C106" s="229">
        <v>14444</v>
      </c>
      <c r="D106" s="233">
        <f>D4</f>
        <v>1720</v>
      </c>
    </row>
    <row r="107" spans="1:6" x14ac:dyDescent="0.25">
      <c r="A107" s="499"/>
      <c r="B107" s="228" t="s">
        <v>253</v>
      </c>
      <c r="C107" s="229">
        <v>16385</v>
      </c>
      <c r="D107" s="233">
        <f>F4</f>
        <v>2434</v>
      </c>
    </row>
    <row r="108" spans="1:6" x14ac:dyDescent="0.25">
      <c r="A108" s="509" t="s">
        <v>150</v>
      </c>
      <c r="B108" s="228" t="s">
        <v>228</v>
      </c>
      <c r="C108" s="229">
        <v>22223</v>
      </c>
      <c r="D108" s="233">
        <f>D7</f>
        <v>1360</v>
      </c>
    </row>
    <row r="109" spans="1:6" x14ac:dyDescent="0.25">
      <c r="A109" s="509"/>
      <c r="B109" s="228" t="s">
        <v>253</v>
      </c>
      <c r="C109" s="229">
        <v>17013</v>
      </c>
      <c r="D109" s="233">
        <f>F7</f>
        <v>3065</v>
      </c>
    </row>
    <row r="110" spans="1:6" x14ac:dyDescent="0.25">
      <c r="A110" s="510" t="s">
        <v>151</v>
      </c>
      <c r="B110" s="228" t="s">
        <v>228</v>
      </c>
      <c r="C110" s="229">
        <v>28175</v>
      </c>
      <c r="D110" s="233">
        <f>D10</f>
        <v>11859</v>
      </c>
    </row>
    <row r="111" spans="1:6" x14ac:dyDescent="0.25">
      <c r="A111" s="510"/>
      <c r="B111" s="228" t="s">
        <v>253</v>
      </c>
      <c r="C111" s="229">
        <v>35802</v>
      </c>
      <c r="D111" s="233">
        <f>F10</f>
        <v>13556</v>
      </c>
    </row>
    <row r="118" spans="1:4" x14ac:dyDescent="0.25">
      <c r="A118" s="226" t="s">
        <v>137</v>
      </c>
      <c r="B118" s="226"/>
      <c r="C118" s="511" t="s">
        <v>254</v>
      </c>
      <c r="D118" s="511"/>
    </row>
    <row r="119" spans="1:4" x14ac:dyDescent="0.25">
      <c r="A119" s="226"/>
      <c r="B119" s="226"/>
      <c r="C119" s="227" t="s">
        <v>181</v>
      </c>
      <c r="D119" s="227" t="s">
        <v>182</v>
      </c>
    </row>
    <row r="120" spans="1:4" x14ac:dyDescent="0.25">
      <c r="A120" s="499" t="s">
        <v>146</v>
      </c>
      <c r="B120" s="228" t="s">
        <v>228</v>
      </c>
      <c r="C120">
        <v>12998</v>
      </c>
      <c r="D120" s="232">
        <f>D16</f>
        <v>1608</v>
      </c>
    </row>
    <row r="121" spans="1:4" x14ac:dyDescent="0.25">
      <c r="A121" s="499"/>
      <c r="B121" s="228" t="s">
        <v>253</v>
      </c>
      <c r="C121">
        <v>11825</v>
      </c>
      <c r="D121" s="232">
        <f>F16</f>
        <v>2434</v>
      </c>
    </row>
    <row r="122" spans="1:4" x14ac:dyDescent="0.25">
      <c r="A122" s="509" t="s">
        <v>150</v>
      </c>
      <c r="B122" s="228" t="s">
        <v>228</v>
      </c>
      <c r="C122">
        <v>20761</v>
      </c>
      <c r="D122" s="232">
        <f>D19</f>
        <v>1352</v>
      </c>
    </row>
    <row r="123" spans="1:4" x14ac:dyDescent="0.25">
      <c r="A123" s="509"/>
      <c r="B123" s="228" t="s">
        <v>253</v>
      </c>
      <c r="C123">
        <v>12453</v>
      </c>
      <c r="D123" s="232">
        <f>F19</f>
        <v>3065</v>
      </c>
    </row>
    <row r="124" spans="1:4" x14ac:dyDescent="0.25">
      <c r="A124" s="510" t="s">
        <v>151</v>
      </c>
      <c r="B124" s="228" t="s">
        <v>228</v>
      </c>
      <c r="C124">
        <v>26582</v>
      </c>
      <c r="D124" s="232">
        <f>D22</f>
        <v>11747</v>
      </c>
    </row>
    <row r="125" spans="1:4" x14ac:dyDescent="0.25">
      <c r="A125" s="510"/>
      <c r="B125" s="228" t="s">
        <v>253</v>
      </c>
      <c r="C125">
        <v>28618</v>
      </c>
      <c r="D125" s="232">
        <f>F22</f>
        <v>13556</v>
      </c>
    </row>
  </sheetData>
  <mergeCells count="51">
    <mergeCell ref="A122:A123"/>
    <mergeCell ref="A124:A125"/>
    <mergeCell ref="C104:D104"/>
    <mergeCell ref="A106:A107"/>
    <mergeCell ref="A108:A109"/>
    <mergeCell ref="A110:A111"/>
    <mergeCell ref="C118:D118"/>
    <mergeCell ref="A61:B64"/>
    <mergeCell ref="A73:B73"/>
    <mergeCell ref="A83:B83"/>
    <mergeCell ref="C29:D29"/>
    <mergeCell ref="E29:F29"/>
    <mergeCell ref="A30:B33"/>
    <mergeCell ref="A34:B37"/>
    <mergeCell ref="A28:B29"/>
    <mergeCell ref="A38:B41"/>
    <mergeCell ref="A53:B56"/>
    <mergeCell ref="A57:B60"/>
    <mergeCell ref="C49:H50"/>
    <mergeCell ref="A51:B52"/>
    <mergeCell ref="C51:D51"/>
    <mergeCell ref="E51:F51"/>
    <mergeCell ref="C52:D52"/>
    <mergeCell ref="G66:I66"/>
    <mergeCell ref="A120:A121"/>
    <mergeCell ref="A93:B93"/>
    <mergeCell ref="A66:A67"/>
    <mergeCell ref="B66:B67"/>
    <mergeCell ref="C66:D66"/>
    <mergeCell ref="E66:F66"/>
    <mergeCell ref="E52:F52"/>
    <mergeCell ref="C1:F1"/>
    <mergeCell ref="G13:H13"/>
    <mergeCell ref="C14:D14"/>
    <mergeCell ref="E14:F14"/>
    <mergeCell ref="A3:B5"/>
    <mergeCell ref="G1:H1"/>
    <mergeCell ref="A1:B2"/>
    <mergeCell ref="C2:D2"/>
    <mergeCell ref="E2:F2"/>
    <mergeCell ref="A9:B11"/>
    <mergeCell ref="A6:B8"/>
    <mergeCell ref="A13:B14"/>
    <mergeCell ref="M29:M30"/>
    <mergeCell ref="A18:B20"/>
    <mergeCell ref="A21:B23"/>
    <mergeCell ref="C13:F13"/>
    <mergeCell ref="A15:B17"/>
    <mergeCell ref="J29:L29"/>
    <mergeCell ref="C28:D28"/>
    <mergeCell ref="E28:F28"/>
  </mergeCells>
  <conditionalFormatting sqref="G3:H11 G30:H41">
    <cfRule type="cellIs" dxfId="53" priority="7" operator="lessThan">
      <formula>0</formula>
    </cfRule>
    <cfRule type="cellIs" dxfId="52" priority="8" operator="greaterThan">
      <formula>0</formula>
    </cfRule>
  </conditionalFormatting>
  <conditionalFormatting sqref="G15:H23">
    <cfRule type="cellIs" dxfId="51" priority="1" operator="lessThan">
      <formula>0</formula>
    </cfRule>
    <cfRule type="cellIs" dxfId="50" priority="2" operator="greaterThan">
      <formula>0</formula>
    </cfRule>
  </conditionalFormatting>
  <conditionalFormatting sqref="G53:H64">
    <cfRule type="cellIs" dxfId="49" priority="5" operator="lessThan">
      <formula>0</formula>
    </cfRule>
    <cfRule type="cellIs" dxfId="48" priority="6" operator="greaterThan">
      <formula>0</formula>
    </cfRule>
  </conditionalFormatting>
  <conditionalFormatting sqref="G68:I70">
    <cfRule type="cellIs" dxfId="47" priority="9" stopIfTrue="1" operator="lessThan">
      <formula>0</formula>
    </cfRule>
    <cfRule type="cellIs" dxfId="46" priority="10" stopIfTrue="1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715E-B885-42A5-A1EF-4245D31A38B4}">
  <dimension ref="A1:V33"/>
  <sheetViews>
    <sheetView zoomScaleNormal="100" workbookViewId="0">
      <selection activeCell="I32" sqref="I32"/>
    </sheetView>
  </sheetViews>
  <sheetFormatPr defaultRowHeight="15" x14ac:dyDescent="0.25"/>
  <cols>
    <col min="3" max="3" width="12.42578125" customWidth="1"/>
    <col min="4" max="4" width="12.140625" customWidth="1"/>
    <col min="5" max="5" width="14.42578125" customWidth="1"/>
    <col min="16" max="16" width="19" customWidth="1"/>
  </cols>
  <sheetData>
    <row r="1" spans="1:22" x14ac:dyDescent="0.25">
      <c r="A1" s="432" t="s">
        <v>137</v>
      </c>
      <c r="B1" s="433"/>
      <c r="C1" s="433" t="s">
        <v>227</v>
      </c>
      <c r="D1" s="433"/>
      <c r="E1" s="436"/>
    </row>
    <row r="2" spans="1:22" ht="15.75" thickBot="1" x14ac:dyDescent="0.3">
      <c r="A2" s="434"/>
      <c r="B2" s="435"/>
      <c r="C2" s="237" t="s">
        <v>255</v>
      </c>
      <c r="D2" s="237" t="s">
        <v>228</v>
      </c>
      <c r="E2" s="238" t="s">
        <v>256</v>
      </c>
    </row>
    <row r="3" spans="1:22" x14ac:dyDescent="0.25">
      <c r="A3" s="419" t="s">
        <v>146</v>
      </c>
      <c r="B3" s="239" t="s">
        <v>181</v>
      </c>
      <c r="C3" s="240">
        <v>16377</v>
      </c>
      <c r="D3" s="240">
        <v>13728</v>
      </c>
      <c r="E3" s="241">
        <f>(C3-D3)/D3</f>
        <v>0.19296328671328672</v>
      </c>
      <c r="P3" s="257" t="s">
        <v>260</v>
      </c>
      <c r="Q3" s="512" t="s">
        <v>146</v>
      </c>
      <c r="R3" s="513"/>
      <c r="S3" s="512" t="s">
        <v>150</v>
      </c>
      <c r="T3" s="513"/>
      <c r="U3" s="512" t="s">
        <v>151</v>
      </c>
      <c r="V3" s="513"/>
    </row>
    <row r="4" spans="1:22" ht="15.75" thickBot="1" x14ac:dyDescent="0.3">
      <c r="A4" s="420"/>
      <c r="B4" s="242" t="s">
        <v>182</v>
      </c>
      <c r="C4" s="243">
        <v>2422</v>
      </c>
      <c r="D4" s="243">
        <v>1702</v>
      </c>
      <c r="E4" s="244">
        <f>(C4-D4)/D4</f>
        <v>0.42303172737955347</v>
      </c>
      <c r="P4" s="258" t="s">
        <v>261</v>
      </c>
      <c r="Q4" s="259" t="s">
        <v>181</v>
      </c>
      <c r="R4" s="260" t="s">
        <v>182</v>
      </c>
      <c r="S4" s="259" t="s">
        <v>181</v>
      </c>
      <c r="T4" s="260" t="s">
        <v>182</v>
      </c>
      <c r="U4" s="259" t="s">
        <v>181</v>
      </c>
      <c r="V4" s="260" t="s">
        <v>182</v>
      </c>
    </row>
    <row r="5" spans="1:22" x14ac:dyDescent="0.25">
      <c r="A5" s="421" t="s">
        <v>150</v>
      </c>
      <c r="B5" s="245" t="s">
        <v>181</v>
      </c>
      <c r="C5" s="240">
        <v>17013</v>
      </c>
      <c r="D5" s="240">
        <v>13549</v>
      </c>
      <c r="E5" s="241">
        <f t="shared" ref="E5:E8" si="0">(C5-D5)/D5</f>
        <v>0.25566462469554951</v>
      </c>
      <c r="P5" s="261" t="s">
        <v>246</v>
      </c>
      <c r="Q5" s="262">
        <v>3008</v>
      </c>
      <c r="R5" s="263">
        <v>0</v>
      </c>
      <c r="S5" s="262">
        <v>3008</v>
      </c>
      <c r="T5" s="263">
        <v>0</v>
      </c>
      <c r="U5" s="262">
        <v>3084</v>
      </c>
      <c r="V5" s="263">
        <v>0</v>
      </c>
    </row>
    <row r="6" spans="1:22" ht="15.75" thickBot="1" x14ac:dyDescent="0.3">
      <c r="A6" s="422"/>
      <c r="B6" s="246" t="s">
        <v>182</v>
      </c>
      <c r="C6" s="243">
        <v>3065</v>
      </c>
      <c r="D6" s="243">
        <v>1360</v>
      </c>
      <c r="E6" s="244">
        <f t="shared" si="0"/>
        <v>1.2536764705882353</v>
      </c>
      <c r="P6" s="261" t="s">
        <v>248</v>
      </c>
      <c r="Q6" s="262">
        <v>1552</v>
      </c>
      <c r="R6" s="263">
        <v>0</v>
      </c>
      <c r="S6" s="262">
        <v>1552</v>
      </c>
      <c r="T6" s="263">
        <v>0</v>
      </c>
      <c r="U6" s="262">
        <v>4100</v>
      </c>
      <c r="V6" s="263">
        <v>0</v>
      </c>
    </row>
    <row r="7" spans="1:22" x14ac:dyDescent="0.25">
      <c r="A7" s="423" t="s">
        <v>151</v>
      </c>
      <c r="B7" s="247" t="s">
        <v>181</v>
      </c>
      <c r="C7" s="240">
        <v>35802</v>
      </c>
      <c r="D7" s="240">
        <v>28363</v>
      </c>
      <c r="E7" s="241">
        <f t="shared" si="0"/>
        <v>0.26227832034693088</v>
      </c>
      <c r="P7" s="264" t="s">
        <v>187</v>
      </c>
      <c r="Q7" s="265">
        <f>SUM(Q5:Q6)</f>
        <v>4560</v>
      </c>
      <c r="R7" s="266">
        <f t="shared" ref="R7:V7" si="1">SUM(R5:R6)</f>
        <v>0</v>
      </c>
      <c r="S7" s="265">
        <f t="shared" si="1"/>
        <v>4560</v>
      </c>
      <c r="T7" s="266">
        <f t="shared" si="1"/>
        <v>0</v>
      </c>
      <c r="U7" s="265">
        <f t="shared" si="1"/>
        <v>7184</v>
      </c>
      <c r="V7" s="266">
        <f t="shared" si="1"/>
        <v>0</v>
      </c>
    </row>
    <row r="8" spans="1:22" ht="15.75" thickBot="1" x14ac:dyDescent="0.3">
      <c r="A8" s="424"/>
      <c r="B8" s="248" t="s">
        <v>182</v>
      </c>
      <c r="C8" s="243">
        <v>78056</v>
      </c>
      <c r="D8" s="243">
        <v>76371</v>
      </c>
      <c r="E8" s="244">
        <f t="shared" si="0"/>
        <v>2.2063348653284624E-2</v>
      </c>
      <c r="P8" s="258" t="s">
        <v>262</v>
      </c>
      <c r="Q8" s="259" t="s">
        <v>181</v>
      </c>
      <c r="R8" s="260" t="s">
        <v>182</v>
      </c>
      <c r="S8" s="259" t="s">
        <v>181</v>
      </c>
      <c r="T8" s="260" t="s">
        <v>182</v>
      </c>
      <c r="U8" s="259" t="s">
        <v>181</v>
      </c>
      <c r="V8" s="260" t="s">
        <v>182</v>
      </c>
    </row>
    <row r="9" spans="1:22" x14ac:dyDescent="0.25">
      <c r="A9" s="430" t="s">
        <v>257</v>
      </c>
      <c r="B9" s="249" t="s">
        <v>181</v>
      </c>
      <c r="C9" s="249"/>
      <c r="D9" s="249"/>
      <c r="E9" s="250">
        <f>AVERAGE(E3,E5,E7)</f>
        <v>0.23696874391858902</v>
      </c>
      <c r="P9" s="261" t="s">
        <v>250</v>
      </c>
      <c r="Q9" s="262">
        <v>1054</v>
      </c>
      <c r="R9" s="263">
        <v>112</v>
      </c>
      <c r="S9" s="262">
        <v>1152</v>
      </c>
      <c r="T9" s="263">
        <v>8</v>
      </c>
      <c r="U9" s="262">
        <v>1141</v>
      </c>
      <c r="V9" s="263">
        <v>112</v>
      </c>
    </row>
    <row r="10" spans="1:22" ht="15.75" thickBot="1" x14ac:dyDescent="0.3">
      <c r="A10" s="431"/>
      <c r="B10" s="251" t="s">
        <v>182</v>
      </c>
      <c r="C10" s="251"/>
      <c r="D10" s="251"/>
      <c r="E10" s="252">
        <f>AVERAGE(E4,E6,E8)</f>
        <v>0.56625718220702448</v>
      </c>
      <c r="P10" s="261" t="s">
        <v>251</v>
      </c>
      <c r="Q10" s="262">
        <v>392</v>
      </c>
      <c r="R10" s="263">
        <v>0</v>
      </c>
      <c r="S10" s="262">
        <v>310</v>
      </c>
      <c r="T10" s="263">
        <v>0</v>
      </c>
      <c r="U10" s="262">
        <v>284</v>
      </c>
      <c r="V10" s="263">
        <v>0</v>
      </c>
    </row>
    <row r="11" spans="1:22" ht="15.75" thickBot="1" x14ac:dyDescent="0.3">
      <c r="A11" s="229"/>
      <c r="C11" s="229"/>
      <c r="D11" s="229"/>
      <c r="E11" s="229"/>
      <c r="P11" s="261" t="s">
        <v>252</v>
      </c>
      <c r="Q11" s="262">
        <v>0</v>
      </c>
      <c r="R11" s="263">
        <v>0</v>
      </c>
      <c r="S11" s="262">
        <v>0</v>
      </c>
      <c r="T11" s="263">
        <v>0</v>
      </c>
      <c r="U11" s="262">
        <v>168</v>
      </c>
      <c r="V11" s="263">
        <v>0</v>
      </c>
    </row>
    <row r="12" spans="1:22" ht="15.75" thickBot="1" x14ac:dyDescent="0.3">
      <c r="A12" s="432" t="s">
        <v>137</v>
      </c>
      <c r="B12" s="433"/>
      <c r="C12" s="433" t="s">
        <v>231</v>
      </c>
      <c r="D12" s="433"/>
      <c r="E12" s="436"/>
      <c r="P12" s="264" t="s">
        <v>187</v>
      </c>
      <c r="Q12" s="267">
        <f>SUM(Q9:Q11)</f>
        <v>1446</v>
      </c>
      <c r="R12" s="268">
        <f t="shared" ref="R12:V12" si="2">SUM(R9:R11)</f>
        <v>112</v>
      </c>
      <c r="S12" s="267">
        <f t="shared" si="2"/>
        <v>1462</v>
      </c>
      <c r="T12" s="268">
        <f t="shared" si="2"/>
        <v>8</v>
      </c>
      <c r="U12" s="267">
        <f t="shared" si="2"/>
        <v>1593</v>
      </c>
      <c r="V12" s="268">
        <f t="shared" si="2"/>
        <v>112</v>
      </c>
    </row>
    <row r="13" spans="1:22" ht="15.75" thickBot="1" x14ac:dyDescent="0.3">
      <c r="A13" s="434"/>
      <c r="B13" s="435"/>
      <c r="C13" s="237" t="s">
        <v>255</v>
      </c>
      <c r="D13" s="237" t="s">
        <v>228</v>
      </c>
      <c r="E13" s="238" t="s">
        <v>256</v>
      </c>
    </row>
    <row r="14" spans="1:22" x14ac:dyDescent="0.25">
      <c r="A14" s="419" t="s">
        <v>146</v>
      </c>
      <c r="B14" s="239" t="s">
        <v>181</v>
      </c>
      <c r="C14" s="240">
        <f>C3-Q7</f>
        <v>11817</v>
      </c>
      <c r="D14" s="240">
        <f>D3-Q12</f>
        <v>12282</v>
      </c>
      <c r="E14" s="241">
        <f>(C14-D14)/D14</f>
        <v>-3.7860283341475329E-2</v>
      </c>
    </row>
    <row r="15" spans="1:22" ht="15.75" thickBot="1" x14ac:dyDescent="0.3">
      <c r="A15" s="420"/>
      <c r="B15" s="242" t="s">
        <v>182</v>
      </c>
      <c r="C15" s="243">
        <f>C4-R7</f>
        <v>2422</v>
      </c>
      <c r="D15" s="243">
        <f>D4-R12</f>
        <v>1590</v>
      </c>
      <c r="E15" s="244">
        <f t="shared" ref="E15:E19" si="3">(C15-D15)/D15</f>
        <v>0.52327044025157232</v>
      </c>
    </row>
    <row r="16" spans="1:22" x14ac:dyDescent="0.25">
      <c r="A16" s="421" t="s">
        <v>150</v>
      </c>
      <c r="B16" s="245" t="s">
        <v>181</v>
      </c>
      <c r="C16" s="240">
        <f>C5-S7</f>
        <v>12453</v>
      </c>
      <c r="D16" s="240">
        <f>D5-S12</f>
        <v>12087</v>
      </c>
      <c r="E16" s="241">
        <f>(C16-D16)/D16</f>
        <v>3.0280466617026557E-2</v>
      </c>
    </row>
    <row r="17" spans="1:5" ht="15.75" thickBot="1" x14ac:dyDescent="0.3">
      <c r="A17" s="422"/>
      <c r="B17" s="246" t="s">
        <v>182</v>
      </c>
      <c r="C17" s="243">
        <f>C6-T7</f>
        <v>3065</v>
      </c>
      <c r="D17" s="243">
        <f>D6-T12</f>
        <v>1352</v>
      </c>
      <c r="E17" s="244">
        <f t="shared" si="3"/>
        <v>1.2670118343195267</v>
      </c>
    </row>
    <row r="18" spans="1:5" x14ac:dyDescent="0.25">
      <c r="A18" s="423" t="s">
        <v>151</v>
      </c>
      <c r="B18" s="247" t="s">
        <v>181</v>
      </c>
      <c r="C18" s="240">
        <f>C7-U7</f>
        <v>28618</v>
      </c>
      <c r="D18" s="240">
        <f>D7-U12</f>
        <v>26770</v>
      </c>
      <c r="E18" s="241">
        <f t="shared" si="3"/>
        <v>6.9032499066118788E-2</v>
      </c>
    </row>
    <row r="19" spans="1:5" ht="15.75" thickBot="1" x14ac:dyDescent="0.3">
      <c r="A19" s="424"/>
      <c r="B19" s="248" t="s">
        <v>182</v>
      </c>
      <c r="C19" s="243">
        <f>C8-V7</f>
        <v>78056</v>
      </c>
      <c r="D19" s="243">
        <f>D8-V12</f>
        <v>76259</v>
      </c>
      <c r="E19" s="244">
        <f t="shared" si="3"/>
        <v>2.3564431739204552E-2</v>
      </c>
    </row>
    <row r="20" spans="1:5" x14ac:dyDescent="0.25">
      <c r="A20" s="425" t="s">
        <v>257</v>
      </c>
      <c r="B20" s="253" t="s">
        <v>181</v>
      </c>
      <c r="C20" s="253"/>
      <c r="D20" s="253"/>
      <c r="E20" s="254">
        <f>AVERAGE(E14,E16,E18)</f>
        <v>2.0484227447223339E-2</v>
      </c>
    </row>
    <row r="21" spans="1:5" ht="15.75" thickBot="1" x14ac:dyDescent="0.3">
      <c r="A21" s="426"/>
      <c r="B21" s="255" t="s">
        <v>182</v>
      </c>
      <c r="C21" s="255"/>
      <c r="D21" s="255"/>
      <c r="E21" s="256">
        <f>AVERAGE(E15,E17,E19)</f>
        <v>0.60461556877010125</v>
      </c>
    </row>
    <row r="26" spans="1:5" x14ac:dyDescent="0.25">
      <c r="A26" s="226" t="s">
        <v>137</v>
      </c>
      <c r="B26" s="226"/>
      <c r="C26" s="511"/>
      <c r="D26" s="511"/>
    </row>
    <row r="27" spans="1:5" x14ac:dyDescent="0.25">
      <c r="A27" s="226"/>
      <c r="B27" s="226"/>
      <c r="C27" s="227" t="s">
        <v>258</v>
      </c>
      <c r="D27" s="227" t="s">
        <v>259</v>
      </c>
    </row>
    <row r="28" spans="1:5" x14ac:dyDescent="0.25">
      <c r="A28" s="499" t="s">
        <v>146</v>
      </c>
      <c r="B28" s="228" t="s">
        <v>255</v>
      </c>
      <c r="C28" s="229">
        <v>16377</v>
      </c>
      <c r="D28" s="229">
        <v>11817</v>
      </c>
    </row>
    <row r="29" spans="1:5" x14ac:dyDescent="0.25">
      <c r="A29" s="499"/>
      <c r="B29" s="228" t="s">
        <v>228</v>
      </c>
      <c r="C29" s="229">
        <v>13728</v>
      </c>
      <c r="D29" s="229">
        <v>12282</v>
      </c>
    </row>
    <row r="30" spans="1:5" x14ac:dyDescent="0.25">
      <c r="A30" s="509" t="s">
        <v>150</v>
      </c>
      <c r="B30" s="228" t="s">
        <v>255</v>
      </c>
      <c r="C30" s="229">
        <v>17013</v>
      </c>
      <c r="D30" s="229">
        <v>12453</v>
      </c>
    </row>
    <row r="31" spans="1:5" x14ac:dyDescent="0.25">
      <c r="A31" s="509"/>
      <c r="B31" s="228" t="s">
        <v>228</v>
      </c>
      <c r="C31" s="229">
        <v>13549</v>
      </c>
      <c r="D31" s="229">
        <v>12087</v>
      </c>
    </row>
    <row r="32" spans="1:5" x14ac:dyDescent="0.25">
      <c r="A32" s="510" t="s">
        <v>151</v>
      </c>
      <c r="B32" s="228" t="s">
        <v>255</v>
      </c>
      <c r="C32" s="229">
        <v>35802</v>
      </c>
      <c r="D32" s="229">
        <v>28618</v>
      </c>
    </row>
    <row r="33" spans="1:4" x14ac:dyDescent="0.25">
      <c r="A33" s="510"/>
      <c r="B33" s="228" t="s">
        <v>228</v>
      </c>
      <c r="C33" s="229">
        <v>28363</v>
      </c>
      <c r="D33" s="229">
        <v>26770</v>
      </c>
    </row>
  </sheetData>
  <mergeCells count="19">
    <mergeCell ref="U3:V3"/>
    <mergeCell ref="C26:D26"/>
    <mergeCell ref="A28:A29"/>
    <mergeCell ref="A30:A31"/>
    <mergeCell ref="A32:A33"/>
    <mergeCell ref="Q3:R3"/>
    <mergeCell ref="S3:T3"/>
    <mergeCell ref="A12:B13"/>
    <mergeCell ref="C12:E12"/>
    <mergeCell ref="A14:A15"/>
    <mergeCell ref="A16:A17"/>
    <mergeCell ref="A18:A19"/>
    <mergeCell ref="A20:A21"/>
    <mergeCell ref="A9:A10"/>
    <mergeCell ref="A1:B2"/>
    <mergeCell ref="C1:E1"/>
    <mergeCell ref="A3:A4"/>
    <mergeCell ref="A5:A6"/>
    <mergeCell ref="A7:A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6431-807A-4736-BD08-388A13B7B6C8}">
  <dimension ref="A1:S102"/>
  <sheetViews>
    <sheetView zoomScale="70" zoomScaleNormal="70" workbookViewId="0">
      <selection activeCell="F7" sqref="F7"/>
    </sheetView>
  </sheetViews>
  <sheetFormatPr defaultRowHeight="15" x14ac:dyDescent="0.25"/>
  <cols>
    <col min="3" max="3" width="24.7109375" customWidth="1"/>
    <col min="5" max="5" width="11" customWidth="1"/>
    <col min="6" max="6" width="12.85546875" customWidth="1"/>
    <col min="7" max="7" width="20" customWidth="1"/>
    <col min="13" max="13" width="22" customWidth="1"/>
    <col min="14" max="14" width="12.85546875" customWidth="1"/>
    <col min="15" max="15" width="16" customWidth="1"/>
    <col min="16" max="16" width="19.85546875" customWidth="1"/>
  </cols>
  <sheetData>
    <row r="1" spans="1:19" ht="18.75" x14ac:dyDescent="0.3">
      <c r="A1" s="360" t="s">
        <v>137</v>
      </c>
      <c r="B1" s="360"/>
      <c r="C1" s="361" t="s">
        <v>283</v>
      </c>
      <c r="D1" s="362"/>
      <c r="E1" s="362"/>
      <c r="F1" s="363"/>
      <c r="G1" s="360" t="s">
        <v>140</v>
      </c>
      <c r="H1" s="360"/>
      <c r="I1" s="360"/>
      <c r="K1" s="360" t="s">
        <v>137</v>
      </c>
      <c r="L1" s="360"/>
      <c r="M1" s="361" t="s">
        <v>293</v>
      </c>
      <c r="N1" s="362"/>
      <c r="O1" s="362"/>
      <c r="P1" s="363"/>
      <c r="Q1" s="360" t="s">
        <v>140</v>
      </c>
      <c r="R1" s="360"/>
      <c r="S1" s="360"/>
    </row>
    <row r="2" spans="1:19" ht="18.75" x14ac:dyDescent="0.3">
      <c r="A2" s="360"/>
      <c r="B2" s="360"/>
      <c r="C2" s="366" t="s">
        <v>281</v>
      </c>
      <c r="D2" s="366"/>
      <c r="E2" s="366" t="s">
        <v>282</v>
      </c>
      <c r="F2" s="366"/>
      <c r="G2" s="360"/>
      <c r="H2" s="360"/>
      <c r="I2" s="360"/>
      <c r="K2" s="360"/>
      <c r="L2" s="360"/>
      <c r="M2" s="366" t="s">
        <v>281</v>
      </c>
      <c r="N2" s="366"/>
      <c r="O2" s="366" t="s">
        <v>282</v>
      </c>
      <c r="P2" s="366"/>
      <c r="Q2" s="360"/>
      <c r="R2" s="360"/>
      <c r="S2" s="360"/>
    </row>
    <row r="3" spans="1:19" ht="16.5" customHeight="1" x14ac:dyDescent="0.3">
      <c r="A3" s="347" t="s">
        <v>146</v>
      </c>
      <c r="B3" s="348"/>
      <c r="C3" s="131" t="s">
        <v>147</v>
      </c>
      <c r="D3" s="134">
        <v>8606</v>
      </c>
      <c r="E3" s="131" t="s">
        <v>147</v>
      </c>
      <c r="F3" s="134">
        <v>16030</v>
      </c>
      <c r="G3" s="367">
        <f>((F3-D3)/D3)</f>
        <v>0.86265396235184755</v>
      </c>
      <c r="H3" s="367"/>
      <c r="I3" s="367"/>
      <c r="K3" s="347" t="s">
        <v>146</v>
      </c>
      <c r="L3" s="348"/>
      <c r="M3" s="131" t="s">
        <v>147</v>
      </c>
      <c r="N3" s="134">
        <v>8606</v>
      </c>
      <c r="O3" s="131" t="s">
        <v>147</v>
      </c>
      <c r="P3" s="134">
        <v>16030</v>
      </c>
      <c r="Q3" s="367">
        <f t="shared" ref="Q3:Q10" si="0">((P3-N3)/N3)</f>
        <v>0.86265396235184755</v>
      </c>
      <c r="R3" s="367"/>
      <c r="S3" s="367"/>
    </row>
    <row r="4" spans="1:19" ht="16.5" customHeight="1" x14ac:dyDescent="0.3">
      <c r="A4" s="349"/>
      <c r="B4" s="350"/>
      <c r="C4" s="131" t="s">
        <v>148</v>
      </c>
      <c r="D4" s="135">
        <v>569</v>
      </c>
      <c r="E4" s="131" t="s">
        <v>148</v>
      </c>
      <c r="F4" s="135">
        <v>351</v>
      </c>
      <c r="G4" s="367">
        <f t="shared" ref="G4:G10" si="1">((F4-D4)/D4)</f>
        <v>-0.38312829525483305</v>
      </c>
      <c r="H4" s="367"/>
      <c r="I4" s="367"/>
      <c r="K4" s="349"/>
      <c r="L4" s="350"/>
      <c r="M4" s="131" t="s">
        <v>148</v>
      </c>
      <c r="N4" s="135">
        <v>569</v>
      </c>
      <c r="O4" s="131" t="s">
        <v>148</v>
      </c>
      <c r="P4" s="135">
        <v>351</v>
      </c>
      <c r="Q4" s="367">
        <f t="shared" si="0"/>
        <v>-0.38312829525483305</v>
      </c>
      <c r="R4" s="367"/>
      <c r="S4" s="367"/>
    </row>
    <row r="5" spans="1:19" ht="16.5" customHeight="1" x14ac:dyDescent="0.3">
      <c r="A5" s="349"/>
      <c r="B5" s="350"/>
      <c r="C5" s="131" t="s">
        <v>149</v>
      </c>
      <c r="D5" s="134">
        <v>9608</v>
      </c>
      <c r="E5" s="131" t="s">
        <v>149</v>
      </c>
      <c r="F5" s="134">
        <v>3458</v>
      </c>
      <c r="G5" s="367">
        <f t="shared" si="1"/>
        <v>-0.64009159034138219</v>
      </c>
      <c r="H5" s="367"/>
      <c r="I5" s="367"/>
      <c r="K5" s="349"/>
      <c r="L5" s="350"/>
      <c r="M5" s="131" t="s">
        <v>149</v>
      </c>
      <c r="N5" s="134">
        <f>9608+N21</f>
        <v>17800</v>
      </c>
      <c r="O5" s="131" t="s">
        <v>149</v>
      </c>
      <c r="P5" s="134">
        <f>3458+P21</f>
        <v>3970</v>
      </c>
      <c r="Q5" s="367">
        <f t="shared" si="0"/>
        <v>-0.77696629213483148</v>
      </c>
      <c r="R5" s="367"/>
      <c r="S5" s="367"/>
    </row>
    <row r="6" spans="1:19" ht="16.5" customHeight="1" x14ac:dyDescent="0.3">
      <c r="A6" s="351"/>
      <c r="B6" s="352"/>
      <c r="C6" s="131" t="s">
        <v>187</v>
      </c>
      <c r="D6" s="168">
        <f>SUM(D3+D4+D5)</f>
        <v>18783</v>
      </c>
      <c r="E6" s="131" t="s">
        <v>187</v>
      </c>
      <c r="F6" s="168">
        <f>SUM(F3+F4+F5)</f>
        <v>19839</v>
      </c>
      <c r="G6" s="367">
        <f t="shared" si="1"/>
        <v>5.6221050950327423E-2</v>
      </c>
      <c r="H6" s="367"/>
      <c r="I6" s="367"/>
      <c r="K6" s="351"/>
      <c r="L6" s="352"/>
      <c r="M6" s="131" t="s">
        <v>187</v>
      </c>
      <c r="N6" s="168">
        <f>SUM(N3+N4+N5)</f>
        <v>26975</v>
      </c>
      <c r="O6" s="131" t="s">
        <v>187</v>
      </c>
      <c r="P6" s="168">
        <f>SUM(P3+P4+P5)</f>
        <v>20351</v>
      </c>
      <c r="Q6" s="367">
        <f t="shared" si="0"/>
        <v>-0.24556070435588509</v>
      </c>
      <c r="R6" s="367"/>
      <c r="S6" s="367"/>
    </row>
    <row r="7" spans="1:19" ht="16.5" customHeight="1" x14ac:dyDescent="0.3">
      <c r="A7" s="343" t="s">
        <v>150</v>
      </c>
      <c r="B7" s="344"/>
      <c r="C7" s="131" t="s">
        <v>147</v>
      </c>
      <c r="D7" s="134">
        <v>8554</v>
      </c>
      <c r="E7" s="131" t="s">
        <v>147</v>
      </c>
      <c r="F7" s="134">
        <v>16746</v>
      </c>
      <c r="G7" s="367">
        <f t="shared" si="1"/>
        <v>0.95768061725508535</v>
      </c>
      <c r="H7" s="367"/>
      <c r="I7" s="367"/>
      <c r="K7" s="343" t="s">
        <v>150</v>
      </c>
      <c r="L7" s="344"/>
      <c r="M7" s="131" t="s">
        <v>147</v>
      </c>
      <c r="N7" s="134">
        <v>8554</v>
      </c>
      <c r="O7" s="131" t="s">
        <v>147</v>
      </c>
      <c r="P7" s="134">
        <v>16746</v>
      </c>
      <c r="Q7" s="367">
        <f t="shared" si="0"/>
        <v>0.95768061725508535</v>
      </c>
      <c r="R7" s="367"/>
      <c r="S7" s="367"/>
    </row>
    <row r="8" spans="1:19" ht="16.5" customHeight="1" x14ac:dyDescent="0.3">
      <c r="A8" s="353"/>
      <c r="B8" s="354"/>
      <c r="C8" s="131" t="s">
        <v>148</v>
      </c>
      <c r="D8" s="135">
        <v>531</v>
      </c>
      <c r="E8" s="131" t="s">
        <v>148</v>
      </c>
      <c r="F8" s="135">
        <v>331</v>
      </c>
      <c r="G8" s="367">
        <f t="shared" si="1"/>
        <v>-0.37664783427495291</v>
      </c>
      <c r="H8" s="367"/>
      <c r="I8" s="367"/>
      <c r="K8" s="353"/>
      <c r="L8" s="354"/>
      <c r="M8" s="131" t="s">
        <v>148</v>
      </c>
      <c r="N8" s="135">
        <v>531</v>
      </c>
      <c r="O8" s="131" t="s">
        <v>148</v>
      </c>
      <c r="P8" s="135">
        <v>331</v>
      </c>
      <c r="Q8" s="367">
        <f t="shared" si="0"/>
        <v>-0.37664783427495291</v>
      </c>
      <c r="R8" s="367"/>
      <c r="S8" s="367"/>
    </row>
    <row r="9" spans="1:19" ht="16.5" customHeight="1" x14ac:dyDescent="0.3">
      <c r="A9" s="353"/>
      <c r="B9" s="354"/>
      <c r="C9" s="131" t="s">
        <v>149</v>
      </c>
      <c r="D9" s="134">
        <v>9683</v>
      </c>
      <c r="E9" s="131" t="s">
        <v>149</v>
      </c>
      <c r="F9" s="134">
        <v>4101</v>
      </c>
      <c r="G9" s="367">
        <f t="shared" si="1"/>
        <v>-0.57647423319219249</v>
      </c>
      <c r="H9" s="367"/>
      <c r="I9" s="367"/>
      <c r="K9" s="353"/>
      <c r="L9" s="354"/>
      <c r="M9" s="131" t="s">
        <v>149</v>
      </c>
      <c r="N9" s="134">
        <f>9683+N23</f>
        <v>17875</v>
      </c>
      <c r="O9" s="131" t="s">
        <v>149</v>
      </c>
      <c r="P9" s="134">
        <f>4101+P21</f>
        <v>4613</v>
      </c>
      <c r="Q9" s="367">
        <f t="shared" si="0"/>
        <v>-0.74193006993006994</v>
      </c>
      <c r="R9" s="367"/>
      <c r="S9" s="367"/>
    </row>
    <row r="10" spans="1:19" ht="16.5" customHeight="1" x14ac:dyDescent="0.3">
      <c r="A10" s="355"/>
      <c r="B10" s="356"/>
      <c r="C10" s="131" t="s">
        <v>187</v>
      </c>
      <c r="D10" s="168">
        <f>SUM(D7+D8+D9)</f>
        <v>18768</v>
      </c>
      <c r="E10" s="131" t="s">
        <v>187</v>
      </c>
      <c r="F10" s="168">
        <f>SUM(F7+F8+F9)</f>
        <v>21178</v>
      </c>
      <c r="G10" s="367">
        <f t="shared" si="1"/>
        <v>0.12841005967604432</v>
      </c>
      <c r="H10" s="367"/>
      <c r="I10" s="367"/>
      <c r="K10" s="355"/>
      <c r="L10" s="356"/>
      <c r="M10" s="131" t="s">
        <v>187</v>
      </c>
      <c r="N10" s="168">
        <f>SUM(N7+N8+N9)</f>
        <v>26960</v>
      </c>
      <c r="O10" s="131" t="s">
        <v>187</v>
      </c>
      <c r="P10" s="168">
        <f>SUM(P7+P8+P9)</f>
        <v>21690</v>
      </c>
      <c r="Q10" s="367">
        <f t="shared" si="0"/>
        <v>-0.19547477744807121</v>
      </c>
      <c r="R10" s="367"/>
      <c r="S10" s="367"/>
    </row>
    <row r="11" spans="1:19" ht="16.5" customHeight="1" x14ac:dyDescent="0.25"/>
    <row r="12" spans="1:19" ht="16.5" customHeight="1" x14ac:dyDescent="0.25"/>
    <row r="13" spans="1:19" ht="16.5" customHeight="1" x14ac:dyDescent="0.25"/>
    <row r="14" spans="1:19" ht="16.5" customHeight="1" x14ac:dyDescent="0.25"/>
    <row r="18" spans="1:16" ht="18.75" x14ac:dyDescent="0.3">
      <c r="A18" s="360" t="s">
        <v>137</v>
      </c>
      <c r="B18" s="360"/>
      <c r="C18" s="361" t="s">
        <v>289</v>
      </c>
      <c r="D18" s="362"/>
      <c r="E18" s="362"/>
      <c r="F18" s="363"/>
      <c r="G18" s="360" t="s">
        <v>303</v>
      </c>
      <c r="H18" s="360"/>
      <c r="I18" s="360"/>
      <c r="M18" s="366" t="s">
        <v>290</v>
      </c>
      <c r="N18" s="366"/>
      <c r="O18" s="366"/>
      <c r="P18" s="366"/>
    </row>
    <row r="19" spans="1:16" ht="18.75" x14ac:dyDescent="0.3">
      <c r="A19" s="360"/>
      <c r="B19" s="360"/>
      <c r="C19" s="366" t="s">
        <v>281</v>
      </c>
      <c r="D19" s="366"/>
      <c r="E19" s="366" t="s">
        <v>282</v>
      </c>
      <c r="F19" s="366"/>
      <c r="G19" s="360"/>
      <c r="H19" s="360"/>
      <c r="I19" s="360"/>
      <c r="M19" s="366" t="s">
        <v>281</v>
      </c>
      <c r="N19" s="366"/>
      <c r="O19" s="366" t="s">
        <v>282</v>
      </c>
      <c r="P19" s="366"/>
    </row>
    <row r="20" spans="1:16" x14ac:dyDescent="0.25">
      <c r="A20" s="347" t="s">
        <v>146</v>
      </c>
      <c r="B20" s="348"/>
      <c r="C20" s="131" t="s">
        <v>284</v>
      </c>
      <c r="D20">
        <v>26.083680999999999</v>
      </c>
      <c r="E20" s="131" t="s">
        <v>284</v>
      </c>
      <c r="F20">
        <v>9.9901060000000008</v>
      </c>
      <c r="G20" s="367">
        <f t="shared" ref="G20:G26" si="2">((F20-D20)/D20)</f>
        <v>-0.61699784627790832</v>
      </c>
      <c r="H20" s="367"/>
      <c r="I20" s="367"/>
      <c r="K20" s="347" t="s">
        <v>146</v>
      </c>
      <c r="L20" s="348"/>
      <c r="M20" s="131" t="s">
        <v>291</v>
      </c>
      <c r="N20" s="131">
        <f>8*1024</f>
        <v>8192</v>
      </c>
      <c r="O20" s="131" t="s">
        <v>291</v>
      </c>
      <c r="P20" s="136">
        <v>1024</v>
      </c>
    </row>
    <row r="21" spans="1:16" x14ac:dyDescent="0.25">
      <c r="A21" s="349"/>
      <c r="B21" s="350"/>
      <c r="C21" s="131" t="s">
        <v>285</v>
      </c>
      <c r="D21" s="131">
        <v>216</v>
      </c>
      <c r="E21" s="131" t="s">
        <v>285</v>
      </c>
      <c r="F21" s="131">
        <v>213</v>
      </c>
      <c r="G21" s="367">
        <f t="shared" ref="G21" si="3">((F21-D21)/D21)</f>
        <v>-1.3888888888888888E-2</v>
      </c>
      <c r="H21" s="367"/>
      <c r="I21" s="367"/>
      <c r="K21" s="351"/>
      <c r="L21" s="352"/>
      <c r="M21" s="131" t="s">
        <v>292</v>
      </c>
      <c r="N21" s="131">
        <f>8*1024</f>
        <v>8192</v>
      </c>
      <c r="O21" s="131" t="s">
        <v>292</v>
      </c>
      <c r="P21" s="131">
        <v>512</v>
      </c>
    </row>
    <row r="22" spans="1:16" x14ac:dyDescent="0.25">
      <c r="A22" s="349"/>
      <c r="B22" s="350"/>
      <c r="C22" s="131" t="s">
        <v>286</v>
      </c>
      <c r="D22" s="131">
        <v>9.3500000000000007E-3</v>
      </c>
      <c r="E22" s="131" t="s">
        <v>286</v>
      </c>
      <c r="F22" s="131">
        <v>9.2840000000000006E-3</v>
      </c>
      <c r="G22" s="367">
        <f t="shared" si="2"/>
        <v>-7.0588235294117736E-3</v>
      </c>
      <c r="H22" s="367"/>
      <c r="I22" s="367"/>
      <c r="K22" s="343" t="s">
        <v>150</v>
      </c>
      <c r="L22" s="344"/>
      <c r="M22" s="131" t="s">
        <v>291</v>
      </c>
      <c r="N22" s="131">
        <f>8*1024</f>
        <v>8192</v>
      </c>
      <c r="O22" s="131" t="s">
        <v>291</v>
      </c>
      <c r="P22" s="136">
        <v>1024</v>
      </c>
    </row>
    <row r="23" spans="1:16" x14ac:dyDescent="0.25">
      <c r="A23" s="343" t="s">
        <v>150</v>
      </c>
      <c r="B23" s="344"/>
      <c r="C23" s="131" t="s">
        <v>284</v>
      </c>
      <c r="D23" s="131">
        <v>26.076238</v>
      </c>
      <c r="E23" s="131" t="s">
        <v>284</v>
      </c>
      <c r="F23" s="131">
        <v>9.9936000000000007</v>
      </c>
      <c r="G23" s="367">
        <f t="shared" si="2"/>
        <v>-0.61675453338016006</v>
      </c>
      <c r="H23" s="367"/>
      <c r="I23" s="367"/>
      <c r="K23" s="353"/>
      <c r="L23" s="354"/>
      <c r="M23" s="131" t="s">
        <v>292</v>
      </c>
      <c r="N23" s="131">
        <f>8*1024</f>
        <v>8192</v>
      </c>
      <c r="O23" s="131" t="s">
        <v>292</v>
      </c>
      <c r="P23" s="131">
        <v>512</v>
      </c>
    </row>
    <row r="24" spans="1:16" x14ac:dyDescent="0.25">
      <c r="A24" s="353"/>
      <c r="B24" s="354"/>
      <c r="C24" s="131" t="s">
        <v>285</v>
      </c>
      <c r="D24" s="131">
        <v>218.5</v>
      </c>
      <c r="E24" s="131" t="s">
        <v>285</v>
      </c>
      <c r="F24" s="131">
        <v>218.2</v>
      </c>
      <c r="G24" s="367">
        <f t="shared" si="2"/>
        <v>-1.3729977116705326E-3</v>
      </c>
      <c r="H24" s="367"/>
      <c r="I24" s="367"/>
    </row>
    <row r="25" spans="1:16" x14ac:dyDescent="0.25">
      <c r="A25" s="353"/>
      <c r="B25" s="354"/>
      <c r="C25" s="131" t="s">
        <v>287</v>
      </c>
      <c r="D25" s="131">
        <v>1.0034E-2</v>
      </c>
      <c r="E25" s="131" t="s">
        <v>287</v>
      </c>
      <c r="F25" s="131">
        <v>9.8799999999999999E-3</v>
      </c>
      <c r="G25" s="367">
        <f t="shared" si="2"/>
        <v>-1.5347817420769348E-2</v>
      </c>
      <c r="H25" s="367"/>
      <c r="I25" s="367"/>
    </row>
    <row r="26" spans="1:16" ht="15" customHeight="1" x14ac:dyDescent="0.25">
      <c r="A26" s="355"/>
      <c r="B26" s="356"/>
      <c r="C26" s="131" t="s">
        <v>288</v>
      </c>
      <c r="D26" s="131">
        <v>9.9319999999999999E-3</v>
      </c>
      <c r="E26" s="131" t="s">
        <v>288</v>
      </c>
      <c r="F26" s="131">
        <v>9.8600000000000007E-3</v>
      </c>
      <c r="G26" s="367">
        <f t="shared" si="2"/>
        <v>-7.2492952074103053E-3</v>
      </c>
      <c r="H26" s="367"/>
      <c r="I26" s="367"/>
    </row>
    <row r="27" spans="1:16" ht="15" customHeight="1" x14ac:dyDescent="0.25"/>
    <row r="28" spans="1:16" ht="15" customHeight="1" x14ac:dyDescent="0.3">
      <c r="A28" s="360" t="s">
        <v>150</v>
      </c>
      <c r="B28" s="360"/>
      <c r="C28" s="361" t="s">
        <v>283</v>
      </c>
      <c r="D28" s="362"/>
      <c r="E28" s="362"/>
      <c r="F28" s="363"/>
      <c r="G28" s="364" t="s">
        <v>140</v>
      </c>
      <c r="H28" s="365"/>
    </row>
    <row r="29" spans="1:16" ht="15" customHeight="1" x14ac:dyDescent="0.3">
      <c r="A29" s="360"/>
      <c r="B29" s="360"/>
      <c r="C29" s="366" t="s">
        <v>281</v>
      </c>
      <c r="D29" s="366"/>
      <c r="E29" s="366" t="s">
        <v>282</v>
      </c>
      <c r="F29" s="366"/>
      <c r="G29" s="165" t="s">
        <v>230</v>
      </c>
      <c r="H29" s="165" t="s">
        <v>160</v>
      </c>
    </row>
    <row r="30" spans="1:16" ht="15" customHeight="1" x14ac:dyDescent="0.3">
      <c r="A30" s="347" t="s">
        <v>146</v>
      </c>
      <c r="B30" s="348"/>
      <c r="C30" s="131" t="s">
        <v>181</v>
      </c>
      <c r="D30" s="134">
        <f>D3+D4</f>
        <v>9175</v>
      </c>
      <c r="E30" s="131" t="s">
        <v>181</v>
      </c>
      <c r="F30" s="134">
        <f>F3+F4</f>
        <v>16381</v>
      </c>
      <c r="G30" s="187">
        <f>F30-D30</f>
        <v>7206</v>
      </c>
      <c r="H30" s="138">
        <f>G30/D30</f>
        <v>0.78539509536784746</v>
      </c>
    </row>
    <row r="31" spans="1:16" ht="15" customHeight="1" x14ac:dyDescent="0.3">
      <c r="A31" s="349"/>
      <c r="B31" s="350"/>
      <c r="C31" s="131" t="s">
        <v>182</v>
      </c>
      <c r="D31" s="168">
        <f>D5</f>
        <v>9608</v>
      </c>
      <c r="E31" s="131" t="s">
        <v>182</v>
      </c>
      <c r="F31" s="168">
        <f>F5</f>
        <v>3458</v>
      </c>
      <c r="G31" s="187">
        <f t="shared" ref="G31:G35" si="4">F31-D31</f>
        <v>-6150</v>
      </c>
      <c r="H31" s="138">
        <f t="shared" ref="H31:H32" si="5">G31/D31</f>
        <v>-0.64009159034138219</v>
      </c>
    </row>
    <row r="32" spans="1:16" ht="16.5" x14ac:dyDescent="0.3">
      <c r="A32" s="351"/>
      <c r="B32" s="352"/>
      <c r="C32" s="131" t="s">
        <v>187</v>
      </c>
      <c r="D32" s="168">
        <f>SUM(D30+D31)</f>
        <v>18783</v>
      </c>
      <c r="E32" s="131" t="s">
        <v>187</v>
      </c>
      <c r="F32" s="168">
        <f>SUM(F30+F31)</f>
        <v>19839</v>
      </c>
      <c r="G32" s="187">
        <f t="shared" si="4"/>
        <v>1056</v>
      </c>
      <c r="H32" s="138">
        <f t="shared" si="5"/>
        <v>5.6221050950327423E-2</v>
      </c>
    </row>
    <row r="33" spans="1:8" ht="16.5" x14ac:dyDescent="0.3">
      <c r="A33" s="343" t="s">
        <v>150</v>
      </c>
      <c r="B33" s="344"/>
      <c r="C33" s="131" t="s">
        <v>181</v>
      </c>
      <c r="D33" s="134">
        <f>D7+D8</f>
        <v>9085</v>
      </c>
      <c r="E33" s="131" t="s">
        <v>147</v>
      </c>
      <c r="F33" s="134">
        <f>F7+F8</f>
        <v>17077</v>
      </c>
      <c r="G33" s="187">
        <f t="shared" si="4"/>
        <v>7992</v>
      </c>
      <c r="H33" s="138">
        <f t="shared" ref="H33:H35" si="6">((F33-D33)/D33)</f>
        <v>0.87969179966978539</v>
      </c>
    </row>
    <row r="34" spans="1:8" ht="16.5" x14ac:dyDescent="0.3">
      <c r="A34" s="353"/>
      <c r="B34" s="354"/>
      <c r="C34" s="131" t="s">
        <v>182</v>
      </c>
      <c r="D34" s="168">
        <f>D9</f>
        <v>9683</v>
      </c>
      <c r="E34" s="131" t="s">
        <v>149</v>
      </c>
      <c r="F34" s="168">
        <f>F9</f>
        <v>4101</v>
      </c>
      <c r="G34" s="187">
        <f t="shared" si="4"/>
        <v>-5582</v>
      </c>
      <c r="H34" s="138">
        <f t="shared" si="6"/>
        <v>-0.57647423319219249</v>
      </c>
    </row>
    <row r="35" spans="1:8" ht="16.5" x14ac:dyDescent="0.3">
      <c r="A35" s="355"/>
      <c r="B35" s="356"/>
      <c r="C35" s="131" t="s">
        <v>187</v>
      </c>
      <c r="D35" s="168">
        <f>SUM(D33+D34)</f>
        <v>18768</v>
      </c>
      <c r="E35" s="131" t="s">
        <v>187</v>
      </c>
      <c r="F35" s="168">
        <f>SUM(F33+F34)</f>
        <v>21178</v>
      </c>
      <c r="G35" s="187">
        <f t="shared" si="4"/>
        <v>2410</v>
      </c>
      <c r="H35" s="138">
        <f t="shared" si="6"/>
        <v>0.12841005967604432</v>
      </c>
    </row>
    <row r="37" spans="1:8" ht="18.75" x14ac:dyDescent="0.3">
      <c r="A37" s="357" t="s">
        <v>137</v>
      </c>
      <c r="B37" s="358"/>
      <c r="C37" s="359"/>
      <c r="D37" s="142" t="s">
        <v>332</v>
      </c>
      <c r="E37" s="142" t="s">
        <v>334</v>
      </c>
      <c r="F37" s="186" t="s">
        <v>140</v>
      </c>
    </row>
    <row r="38" spans="1:8" ht="18.600000000000001" customHeight="1" x14ac:dyDescent="0.3">
      <c r="A38" s="347" t="s">
        <v>146</v>
      </c>
      <c r="B38" s="348"/>
      <c r="C38" s="131" t="s">
        <v>181</v>
      </c>
      <c r="D38" s="134">
        <v>9175</v>
      </c>
      <c r="E38" s="134">
        <v>16381</v>
      </c>
      <c r="F38" s="138">
        <v>0.78539509536784746</v>
      </c>
    </row>
    <row r="39" spans="1:8" ht="16.5" customHeight="1" x14ac:dyDescent="0.3">
      <c r="A39" s="351"/>
      <c r="B39" s="352"/>
      <c r="C39" s="131" t="s">
        <v>182</v>
      </c>
      <c r="D39" s="168">
        <v>9608</v>
      </c>
      <c r="E39" s="168">
        <v>3458</v>
      </c>
      <c r="F39" s="138">
        <v>-0.64009159034138219</v>
      </c>
    </row>
    <row r="40" spans="1:8" ht="16.5" customHeight="1" x14ac:dyDescent="0.3">
      <c r="A40" s="343" t="s">
        <v>150</v>
      </c>
      <c r="B40" s="344"/>
      <c r="C40" s="131" t="s">
        <v>181</v>
      </c>
      <c r="D40" s="134">
        <v>9085</v>
      </c>
      <c r="E40" s="134">
        <v>17077</v>
      </c>
      <c r="F40" s="138">
        <v>0.87969179966978539</v>
      </c>
    </row>
    <row r="41" spans="1:8" ht="16.5" customHeight="1" x14ac:dyDescent="0.3">
      <c r="A41" s="353"/>
      <c r="B41" s="354"/>
      <c r="C41" s="131" t="s">
        <v>182</v>
      </c>
      <c r="D41" s="168">
        <v>9683</v>
      </c>
      <c r="E41" s="168">
        <v>4101</v>
      </c>
      <c r="F41" s="138">
        <v>-0.57647423319219249</v>
      </c>
    </row>
    <row r="42" spans="1:8" ht="16.5" customHeight="1" x14ac:dyDescent="0.25"/>
    <row r="43" spans="1:8" ht="16.5" customHeight="1" x14ac:dyDescent="0.3">
      <c r="A43" s="357" t="s">
        <v>137</v>
      </c>
      <c r="B43" s="358"/>
      <c r="C43" s="359"/>
      <c r="D43" s="142" t="s">
        <v>332</v>
      </c>
      <c r="E43" s="142" t="s">
        <v>334</v>
      </c>
      <c r="F43" s="142" t="s">
        <v>303</v>
      </c>
    </row>
    <row r="44" spans="1:8" ht="15" customHeight="1" x14ac:dyDescent="0.25">
      <c r="A44" s="347" t="s">
        <v>146</v>
      </c>
      <c r="B44" s="348"/>
      <c r="C44" s="131" t="s">
        <v>284</v>
      </c>
      <c r="D44">
        <v>26.083680999999999</v>
      </c>
      <c r="E44">
        <v>9.9901060000000008</v>
      </c>
      <c r="F44" s="158">
        <f t="shared" ref="F44:F50" si="7">((E44-D44)/D44)</f>
        <v>-0.61699784627790832</v>
      </c>
    </row>
    <row r="45" spans="1:8" ht="15" customHeight="1" x14ac:dyDescent="0.25">
      <c r="A45" s="347" t="s">
        <v>146</v>
      </c>
      <c r="B45" s="348"/>
      <c r="C45" s="131" t="s">
        <v>285</v>
      </c>
      <c r="D45" s="131">
        <v>216</v>
      </c>
      <c r="E45" s="131">
        <v>213</v>
      </c>
      <c r="F45" s="158">
        <f t="shared" si="7"/>
        <v>-1.3888888888888888E-2</v>
      </c>
    </row>
    <row r="46" spans="1:8" ht="15" customHeight="1" x14ac:dyDescent="0.25">
      <c r="A46" s="347" t="s">
        <v>146</v>
      </c>
      <c r="B46" s="348"/>
      <c r="C46" s="131" t="s">
        <v>286</v>
      </c>
      <c r="D46" s="131">
        <v>9.3500000000000007E-3</v>
      </c>
      <c r="E46" s="131">
        <v>9.2840000000000006E-3</v>
      </c>
      <c r="F46" s="158">
        <f t="shared" si="7"/>
        <v>-7.0588235294117736E-3</v>
      </c>
    </row>
    <row r="47" spans="1:8" ht="15" customHeight="1" x14ac:dyDescent="0.25">
      <c r="A47" s="343" t="s">
        <v>150</v>
      </c>
      <c r="B47" s="344"/>
      <c r="C47" s="131" t="s">
        <v>284</v>
      </c>
      <c r="D47" s="131">
        <v>26.076238</v>
      </c>
      <c r="E47" s="131">
        <v>9.9936000000000007</v>
      </c>
      <c r="F47" s="158">
        <f t="shared" si="7"/>
        <v>-0.61675453338016006</v>
      </c>
    </row>
    <row r="48" spans="1:8" ht="15" customHeight="1" x14ac:dyDescent="0.25">
      <c r="A48" s="343" t="s">
        <v>150</v>
      </c>
      <c r="B48" s="344"/>
      <c r="C48" s="131" t="s">
        <v>285</v>
      </c>
      <c r="D48" s="131">
        <v>218.5</v>
      </c>
      <c r="E48" s="131">
        <v>218.2</v>
      </c>
      <c r="F48" s="158">
        <f t="shared" si="7"/>
        <v>-1.3729977116705326E-3</v>
      </c>
    </row>
    <row r="49" spans="1:6" ht="15" customHeight="1" x14ac:dyDescent="0.25">
      <c r="A49" s="343" t="s">
        <v>150</v>
      </c>
      <c r="B49" s="344"/>
      <c r="C49" s="131" t="s">
        <v>287</v>
      </c>
      <c r="D49" s="131">
        <v>1.0034E-2</v>
      </c>
      <c r="E49" s="131">
        <v>9.8799999999999999E-3</v>
      </c>
      <c r="F49" s="158">
        <f t="shared" si="7"/>
        <v>-1.5347817420769348E-2</v>
      </c>
    </row>
    <row r="50" spans="1:6" ht="15" customHeight="1" x14ac:dyDescent="0.25">
      <c r="A50" s="343" t="s">
        <v>150</v>
      </c>
      <c r="B50" s="344"/>
      <c r="C50" s="131" t="s">
        <v>288</v>
      </c>
      <c r="D50" s="131">
        <v>9.9319999999999999E-3</v>
      </c>
      <c r="E50" s="131">
        <v>9.8600000000000007E-3</v>
      </c>
      <c r="F50" s="158">
        <f t="shared" si="7"/>
        <v>-7.2492952074103053E-3</v>
      </c>
    </row>
    <row r="52" spans="1:6" ht="22.5" x14ac:dyDescent="0.25">
      <c r="A52" s="337" t="s">
        <v>345</v>
      </c>
      <c r="B52" s="337"/>
      <c r="C52" s="309" t="s">
        <v>143</v>
      </c>
      <c r="D52" s="309" t="s">
        <v>255</v>
      </c>
      <c r="E52" s="309" t="s">
        <v>336</v>
      </c>
      <c r="F52" s="309" t="s">
        <v>337</v>
      </c>
    </row>
    <row r="53" spans="1:6" ht="32.1" customHeight="1" x14ac:dyDescent="0.25">
      <c r="A53" s="338" t="s">
        <v>146</v>
      </c>
      <c r="B53" s="338"/>
      <c r="C53" s="310" t="s">
        <v>339</v>
      </c>
      <c r="D53" s="311">
        <v>1560</v>
      </c>
      <c r="E53" s="311">
        <v>1498</v>
      </c>
      <c r="F53" s="138">
        <f t="shared" ref="F53:F58" si="8">(D53-E53)/E53</f>
        <v>4.1388518024032039E-2</v>
      </c>
    </row>
    <row r="54" spans="1:6" x14ac:dyDescent="0.25">
      <c r="A54" s="338"/>
      <c r="B54" s="338"/>
      <c r="C54" s="312" t="s">
        <v>340</v>
      </c>
      <c r="D54" s="313">
        <v>10442</v>
      </c>
      <c r="E54" s="313">
        <v>820</v>
      </c>
      <c r="F54" s="138">
        <f t="shared" si="8"/>
        <v>11.734146341463415</v>
      </c>
    </row>
    <row r="55" spans="1:6" x14ac:dyDescent="0.25">
      <c r="A55" s="338"/>
      <c r="B55" s="338"/>
      <c r="C55" s="310" t="s">
        <v>344</v>
      </c>
      <c r="D55" s="311">
        <v>2870</v>
      </c>
      <c r="E55" s="311">
        <v>5738</v>
      </c>
      <c r="F55" s="138">
        <f t="shared" si="8"/>
        <v>-0.49982572324851865</v>
      </c>
    </row>
    <row r="56" spans="1:6" ht="42.6" customHeight="1" x14ac:dyDescent="0.25">
      <c r="A56" s="339" t="s">
        <v>150</v>
      </c>
      <c r="B56" s="339"/>
      <c r="C56" s="312" t="s">
        <v>339</v>
      </c>
      <c r="D56" s="314">
        <v>1543</v>
      </c>
      <c r="E56" s="314">
        <v>1458</v>
      </c>
      <c r="F56" s="138">
        <f t="shared" si="8"/>
        <v>5.8299039780521263E-2</v>
      </c>
    </row>
    <row r="57" spans="1:6" x14ac:dyDescent="0.25">
      <c r="A57" s="339"/>
      <c r="B57" s="339"/>
      <c r="C57" s="310" t="s">
        <v>340</v>
      </c>
      <c r="D57" s="311">
        <v>10442</v>
      </c>
      <c r="E57" s="311">
        <v>820</v>
      </c>
      <c r="F57" s="138">
        <f t="shared" si="8"/>
        <v>11.734146341463415</v>
      </c>
    </row>
    <row r="58" spans="1:6" x14ac:dyDescent="0.25">
      <c r="A58" s="339"/>
      <c r="B58" s="339"/>
      <c r="C58" s="312" t="s">
        <v>344</v>
      </c>
      <c r="D58" s="314">
        <v>3290</v>
      </c>
      <c r="E58" s="314">
        <v>6064</v>
      </c>
      <c r="F58" s="138">
        <f t="shared" si="8"/>
        <v>-0.45745382585751981</v>
      </c>
    </row>
    <row r="61" spans="1:6" x14ac:dyDescent="0.25">
      <c r="C61" s="310" t="s">
        <v>339</v>
      </c>
      <c r="D61" s="312" t="s">
        <v>340</v>
      </c>
      <c r="E61" s="310" t="s">
        <v>344</v>
      </c>
    </row>
    <row r="62" spans="1:6" x14ac:dyDescent="0.25">
      <c r="A62" s="345" t="s">
        <v>255</v>
      </c>
      <c r="B62" s="315" t="s">
        <v>146</v>
      </c>
      <c r="C62" s="311">
        <v>1560</v>
      </c>
      <c r="D62" s="313">
        <v>10442</v>
      </c>
      <c r="E62" s="311">
        <v>2870</v>
      </c>
    </row>
    <row r="63" spans="1:6" x14ac:dyDescent="0.25">
      <c r="A63" s="346"/>
      <c r="B63" s="315" t="s">
        <v>150</v>
      </c>
      <c r="C63" s="311">
        <v>1543</v>
      </c>
      <c r="D63" s="313">
        <v>10442</v>
      </c>
      <c r="E63" s="311">
        <v>3290</v>
      </c>
    </row>
    <row r="64" spans="1:6" x14ac:dyDescent="0.25">
      <c r="A64" s="345" t="s">
        <v>336</v>
      </c>
      <c r="B64" s="315" t="s">
        <v>146</v>
      </c>
      <c r="C64" s="311">
        <v>1498</v>
      </c>
      <c r="D64" s="313">
        <v>820</v>
      </c>
      <c r="E64" s="311">
        <v>5738</v>
      </c>
    </row>
    <row r="65" spans="1:5" x14ac:dyDescent="0.25">
      <c r="A65" s="346"/>
      <c r="B65" s="315" t="s">
        <v>150</v>
      </c>
      <c r="C65" s="311">
        <v>1458</v>
      </c>
      <c r="D65" s="313">
        <v>820</v>
      </c>
      <c r="E65" s="311">
        <v>6064</v>
      </c>
    </row>
    <row r="67" spans="1:5" x14ac:dyDescent="0.25">
      <c r="C67" s="310" t="s">
        <v>339</v>
      </c>
      <c r="D67" s="312" t="s">
        <v>340</v>
      </c>
      <c r="E67" s="310" t="s">
        <v>344</v>
      </c>
    </row>
    <row r="68" spans="1:5" ht="22.5" x14ac:dyDescent="0.25">
      <c r="A68" s="335" t="s">
        <v>146</v>
      </c>
      <c r="B68" s="316" t="s">
        <v>255</v>
      </c>
      <c r="C68" s="311">
        <v>1560</v>
      </c>
      <c r="D68" s="313">
        <v>10442</v>
      </c>
      <c r="E68" s="311">
        <v>2870</v>
      </c>
    </row>
    <row r="69" spans="1:5" ht="21" customHeight="1" x14ac:dyDescent="0.25">
      <c r="A69" s="336"/>
      <c r="B69" s="316" t="s">
        <v>347</v>
      </c>
      <c r="C69" s="311">
        <v>1498</v>
      </c>
      <c r="D69" s="313">
        <v>820</v>
      </c>
      <c r="E69" s="311">
        <v>5738</v>
      </c>
    </row>
    <row r="70" spans="1:5" ht="21" customHeight="1" x14ac:dyDescent="0.25">
      <c r="A70" s="335" t="s">
        <v>150</v>
      </c>
      <c r="B70" s="316" t="s">
        <v>346</v>
      </c>
      <c r="C70" s="311">
        <v>1543</v>
      </c>
      <c r="D70" s="313">
        <v>10442</v>
      </c>
      <c r="E70" s="311">
        <v>3290</v>
      </c>
    </row>
    <row r="71" spans="1:5" x14ac:dyDescent="0.25">
      <c r="A71" s="336"/>
      <c r="B71" s="316" t="s">
        <v>347</v>
      </c>
      <c r="C71" s="311">
        <v>1458</v>
      </c>
      <c r="D71" s="313">
        <v>820</v>
      </c>
      <c r="E71" s="311">
        <v>6064</v>
      </c>
    </row>
    <row r="84" spans="1:7" ht="22.5" x14ac:dyDescent="0.25">
      <c r="A84" s="337" t="s">
        <v>345</v>
      </c>
      <c r="B84" s="337"/>
      <c r="C84" s="309" t="s">
        <v>143</v>
      </c>
      <c r="D84" s="309" t="s">
        <v>255</v>
      </c>
      <c r="E84" s="309" t="s">
        <v>336</v>
      </c>
      <c r="F84" s="309" t="s">
        <v>337</v>
      </c>
    </row>
    <row r="85" spans="1:7" x14ac:dyDescent="0.25">
      <c r="A85" s="338" t="s">
        <v>146</v>
      </c>
      <c r="B85" s="338"/>
      <c r="C85" s="310" t="s">
        <v>339</v>
      </c>
      <c r="D85" s="311">
        <v>1560</v>
      </c>
      <c r="E85" s="311">
        <v>1498</v>
      </c>
      <c r="F85" s="138">
        <f t="shared" ref="F85:F90" si="9">(D85-E85)/E85</f>
        <v>4.1388518024032039E-2</v>
      </c>
    </row>
    <row r="86" spans="1:7" x14ac:dyDescent="0.25">
      <c r="A86" s="338"/>
      <c r="B86" s="338"/>
      <c r="C86" s="312" t="s">
        <v>340</v>
      </c>
      <c r="D86" s="313">
        <v>10442</v>
      </c>
      <c r="E86" s="313">
        <v>820</v>
      </c>
      <c r="F86" s="138">
        <f t="shared" si="9"/>
        <v>11.734146341463415</v>
      </c>
    </row>
    <row r="87" spans="1:7" x14ac:dyDescent="0.25">
      <c r="A87" s="338"/>
      <c r="B87" s="338"/>
      <c r="C87" s="310" t="s">
        <v>344</v>
      </c>
      <c r="D87" s="311">
        <v>2870</v>
      </c>
      <c r="E87" s="311">
        <v>5738</v>
      </c>
      <c r="F87" s="138">
        <f t="shared" si="9"/>
        <v>-0.49982572324851865</v>
      </c>
    </row>
    <row r="88" spans="1:7" x14ac:dyDescent="0.25">
      <c r="A88" s="339" t="s">
        <v>150</v>
      </c>
      <c r="B88" s="339"/>
      <c r="C88" s="312" t="s">
        <v>339</v>
      </c>
      <c r="D88" s="314">
        <v>1543</v>
      </c>
      <c r="E88" s="314">
        <v>1458</v>
      </c>
      <c r="F88" s="138">
        <f t="shared" si="9"/>
        <v>5.8299039780521263E-2</v>
      </c>
    </row>
    <row r="89" spans="1:7" x14ac:dyDescent="0.25">
      <c r="A89" s="339"/>
      <c r="B89" s="339"/>
      <c r="C89" s="310" t="s">
        <v>340</v>
      </c>
      <c r="D89" s="311">
        <v>10442</v>
      </c>
      <c r="E89" s="311">
        <v>820</v>
      </c>
      <c r="F89" s="138">
        <f t="shared" si="9"/>
        <v>11.734146341463415</v>
      </c>
    </row>
    <row r="90" spans="1:7" x14ac:dyDescent="0.25">
      <c r="A90" s="339"/>
      <c r="B90" s="339"/>
      <c r="C90" s="312" t="s">
        <v>344</v>
      </c>
      <c r="D90" s="314">
        <v>3290</v>
      </c>
      <c r="E90" s="314">
        <v>6064</v>
      </c>
      <c r="F90" s="138">
        <f t="shared" si="9"/>
        <v>-0.45745382585751981</v>
      </c>
    </row>
    <row r="92" spans="1:7" x14ac:dyDescent="0.25">
      <c r="C92" s="310" t="s">
        <v>339</v>
      </c>
      <c r="D92" s="340" t="s">
        <v>340</v>
      </c>
      <c r="E92" s="341"/>
      <c r="F92" s="342"/>
      <c r="G92" s="310" t="s">
        <v>344</v>
      </c>
    </row>
    <row r="94" spans="1:7" ht="22.5" x14ac:dyDescent="0.25">
      <c r="A94" s="317" t="s">
        <v>146</v>
      </c>
      <c r="B94" s="316" t="s">
        <v>255</v>
      </c>
      <c r="C94" s="311">
        <v>1560</v>
      </c>
      <c r="D94" s="313">
        <v>10442</v>
      </c>
      <c r="G94" s="311">
        <v>2870</v>
      </c>
    </row>
    <row r="95" spans="1:7" x14ac:dyDescent="0.25">
      <c r="A95" s="318"/>
      <c r="B95" s="316" t="s">
        <v>347</v>
      </c>
      <c r="C95" s="311">
        <v>1498</v>
      </c>
      <c r="D95" s="313">
        <v>820</v>
      </c>
      <c r="G95" s="311">
        <v>5738</v>
      </c>
    </row>
    <row r="96" spans="1:7" ht="22.5" x14ac:dyDescent="0.25">
      <c r="A96" s="335" t="s">
        <v>150</v>
      </c>
      <c r="B96" s="316" t="s">
        <v>346</v>
      </c>
      <c r="C96" s="311">
        <v>1543</v>
      </c>
      <c r="D96" s="313">
        <v>10442</v>
      </c>
      <c r="G96" s="311">
        <v>3290</v>
      </c>
    </row>
    <row r="97" spans="1:7" x14ac:dyDescent="0.25">
      <c r="A97" s="336"/>
      <c r="B97" s="316" t="s">
        <v>347</v>
      </c>
      <c r="C97" s="311">
        <v>1458</v>
      </c>
      <c r="D97" s="313">
        <v>820</v>
      </c>
      <c r="G97" s="311">
        <v>6064</v>
      </c>
    </row>
    <row r="100" spans="1:7" ht="24" x14ac:dyDescent="0.25">
      <c r="A100" s="322" t="s">
        <v>345</v>
      </c>
      <c r="B100" s="323" t="s">
        <v>351</v>
      </c>
      <c r="C100" s="323" t="s">
        <v>352</v>
      </c>
      <c r="D100" s="323" t="s">
        <v>353</v>
      </c>
      <c r="E100" s="323" t="s">
        <v>354</v>
      </c>
      <c r="F100" s="323" t="s">
        <v>355</v>
      </c>
    </row>
    <row r="101" spans="1:7" x14ac:dyDescent="0.25">
      <c r="A101" s="324" t="s">
        <v>146</v>
      </c>
      <c r="B101" s="325">
        <v>2388</v>
      </c>
      <c r="C101" s="325">
        <v>2618</v>
      </c>
      <c r="D101" s="325">
        <v>4560</v>
      </c>
      <c r="E101" s="326">
        <v>886</v>
      </c>
      <c r="F101" s="325">
        <v>10452</v>
      </c>
    </row>
    <row r="102" spans="1:7" x14ac:dyDescent="0.25">
      <c r="A102" s="324" t="s">
        <v>150</v>
      </c>
      <c r="B102" s="325">
        <v>2388</v>
      </c>
      <c r="C102" s="325">
        <v>2600</v>
      </c>
      <c r="D102" s="325">
        <v>4560</v>
      </c>
      <c r="E102" s="326">
        <v>884</v>
      </c>
      <c r="F102" s="325">
        <v>10432</v>
      </c>
    </row>
  </sheetData>
  <mergeCells count="79">
    <mergeCell ref="A46:B46"/>
    <mergeCell ref="A37:C37"/>
    <mergeCell ref="A30:B32"/>
    <mergeCell ref="A33:B35"/>
    <mergeCell ref="A28:B29"/>
    <mergeCell ref="C28:F28"/>
    <mergeCell ref="G28:H28"/>
    <mergeCell ref="C29:D29"/>
    <mergeCell ref="E29:F29"/>
    <mergeCell ref="K20:L21"/>
    <mergeCell ref="K22:L23"/>
    <mergeCell ref="G24:I24"/>
    <mergeCell ref="G25:I25"/>
    <mergeCell ref="G26:I26"/>
    <mergeCell ref="M18:P18"/>
    <mergeCell ref="M19:N19"/>
    <mergeCell ref="O19:P19"/>
    <mergeCell ref="K7:L10"/>
    <mergeCell ref="Q7:S7"/>
    <mergeCell ref="Q8:S8"/>
    <mergeCell ref="Q9:S9"/>
    <mergeCell ref="Q10:S10"/>
    <mergeCell ref="K3:L6"/>
    <mergeCell ref="Q3:S3"/>
    <mergeCell ref="Q4:S4"/>
    <mergeCell ref="Q5:S5"/>
    <mergeCell ref="Q6:S6"/>
    <mergeCell ref="K1:L2"/>
    <mergeCell ref="M1:P1"/>
    <mergeCell ref="Q1:S2"/>
    <mergeCell ref="M2:N2"/>
    <mergeCell ref="O2:P2"/>
    <mergeCell ref="G18:I19"/>
    <mergeCell ref="G20:I20"/>
    <mergeCell ref="G21:I21"/>
    <mergeCell ref="G22:I22"/>
    <mergeCell ref="G23:I23"/>
    <mergeCell ref="A18:B19"/>
    <mergeCell ref="A20:B22"/>
    <mergeCell ref="A23:B26"/>
    <mergeCell ref="C18:F18"/>
    <mergeCell ref="C19:D19"/>
    <mergeCell ref="E19:F19"/>
    <mergeCell ref="A7:B10"/>
    <mergeCell ref="G7:I7"/>
    <mergeCell ref="G8:I8"/>
    <mergeCell ref="G9:I9"/>
    <mergeCell ref="G10:I10"/>
    <mergeCell ref="C1:F1"/>
    <mergeCell ref="A3:B6"/>
    <mergeCell ref="G3:I3"/>
    <mergeCell ref="G4:I4"/>
    <mergeCell ref="G5:I5"/>
    <mergeCell ref="G6:I6"/>
    <mergeCell ref="A1:B2"/>
    <mergeCell ref="G1:I2"/>
    <mergeCell ref="C2:D2"/>
    <mergeCell ref="E2:F2"/>
    <mergeCell ref="A96:A97"/>
    <mergeCell ref="A62:A63"/>
    <mergeCell ref="A64:A65"/>
    <mergeCell ref="A68:A69"/>
    <mergeCell ref="A70:A71"/>
    <mergeCell ref="D92:F92"/>
    <mergeCell ref="A40:B41"/>
    <mergeCell ref="A38:B39"/>
    <mergeCell ref="A84:B84"/>
    <mergeCell ref="A85:B87"/>
    <mergeCell ref="A88:B90"/>
    <mergeCell ref="A52:B52"/>
    <mergeCell ref="A53:B55"/>
    <mergeCell ref="A56:B58"/>
    <mergeCell ref="A47:B47"/>
    <mergeCell ref="A48:B48"/>
    <mergeCell ref="A49:B49"/>
    <mergeCell ref="A50:B50"/>
    <mergeCell ref="A43:C43"/>
    <mergeCell ref="A44:B44"/>
    <mergeCell ref="A45:B45"/>
  </mergeCells>
  <conditionalFormatting sqref="F44:F50">
    <cfRule type="cellIs" dxfId="45" priority="5" operator="lessThan">
      <formula>0</formula>
    </cfRule>
    <cfRule type="cellIs" dxfId="44" priority="6" operator="greaterThan">
      <formula>0</formula>
    </cfRule>
  </conditionalFormatting>
  <conditionalFormatting sqref="F53:F58">
    <cfRule type="cellIs" dxfId="43" priority="3" operator="lessThan">
      <formula>0</formula>
    </cfRule>
    <cfRule type="cellIs" dxfId="42" priority="4" operator="greaterThan">
      <formula>0</formula>
    </cfRule>
  </conditionalFormatting>
  <conditionalFormatting sqref="F85:F90">
    <cfRule type="cellIs" dxfId="41" priority="1" operator="lessThan">
      <formula>0</formula>
    </cfRule>
    <cfRule type="cellIs" dxfId="40" priority="2" operator="greaterThan">
      <formula>0</formula>
    </cfRule>
  </conditionalFormatting>
  <conditionalFormatting sqref="G3:G10 F38:F41">
    <cfRule type="cellIs" dxfId="39" priority="19" operator="lessThan">
      <formula>0</formula>
    </cfRule>
    <cfRule type="cellIs" dxfId="38" priority="20" operator="greaterThan">
      <formula>0</formula>
    </cfRule>
  </conditionalFormatting>
  <conditionalFormatting sqref="G20:G26">
    <cfRule type="cellIs" dxfId="37" priority="17" operator="lessThan">
      <formula>0</formula>
    </cfRule>
    <cfRule type="cellIs" dxfId="36" priority="18" operator="greaterThan">
      <formula>0</formula>
    </cfRule>
  </conditionalFormatting>
  <conditionalFormatting sqref="G30:H35">
    <cfRule type="cellIs" dxfId="35" priority="9" operator="lessThan">
      <formula>0</formula>
    </cfRule>
    <cfRule type="cellIs" dxfId="34" priority="10" operator="greaterThan">
      <formula>0</formula>
    </cfRule>
  </conditionalFormatting>
  <conditionalFormatting sqref="Q3:Q10">
    <cfRule type="cellIs" dxfId="33" priority="13" operator="lessThan">
      <formula>0</formula>
    </cfRule>
    <cfRule type="cellIs" dxfId="32" priority="14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F302-59EE-454D-B372-A6165008411F}">
  <dimension ref="A1:I47"/>
  <sheetViews>
    <sheetView workbookViewId="0">
      <selection activeCell="N19" sqref="N19"/>
    </sheetView>
  </sheetViews>
  <sheetFormatPr defaultRowHeight="15" x14ac:dyDescent="0.25"/>
  <cols>
    <col min="2" max="2" width="38.28515625" customWidth="1"/>
    <col min="3" max="5" width="18.42578125" customWidth="1"/>
    <col min="6" max="6" width="22.85546875" customWidth="1"/>
  </cols>
  <sheetData>
    <row r="1" spans="1:9" ht="18.75" x14ac:dyDescent="0.3">
      <c r="A1" s="360" t="s">
        <v>294</v>
      </c>
      <c r="B1" s="360"/>
      <c r="C1" s="361" t="s">
        <v>283</v>
      </c>
      <c r="D1" s="362"/>
      <c r="E1" s="362"/>
      <c r="F1" s="363"/>
      <c r="G1" s="360" t="s">
        <v>140</v>
      </c>
      <c r="H1" s="360"/>
      <c r="I1" s="360"/>
    </row>
    <row r="2" spans="1:9" ht="27.75" customHeight="1" x14ac:dyDescent="0.3">
      <c r="A2" s="360"/>
      <c r="B2" s="360"/>
      <c r="C2" s="366" t="s">
        <v>281</v>
      </c>
      <c r="D2" s="366"/>
      <c r="E2" s="366" t="s">
        <v>282</v>
      </c>
      <c r="F2" s="366"/>
      <c r="G2" s="360"/>
      <c r="H2" s="360"/>
      <c r="I2" s="360"/>
    </row>
    <row r="3" spans="1:9" ht="16.5" x14ac:dyDescent="0.3">
      <c r="A3" s="347" t="s">
        <v>295</v>
      </c>
      <c r="B3" s="348"/>
      <c r="C3" s="131" t="s">
        <v>147</v>
      </c>
      <c r="D3" s="134">
        <v>15603</v>
      </c>
      <c r="E3" s="131" t="s">
        <v>147</v>
      </c>
      <c r="F3" s="134">
        <v>25751</v>
      </c>
      <c r="G3" s="367">
        <f t="shared" ref="G3:G14" si="0">((F3-D3)/D3)</f>
        <v>0.65038774594629234</v>
      </c>
      <c r="H3" s="367"/>
      <c r="I3" s="367"/>
    </row>
    <row r="4" spans="1:9" ht="16.5" x14ac:dyDescent="0.3">
      <c r="A4" s="349"/>
      <c r="B4" s="350"/>
      <c r="C4" s="131" t="s">
        <v>148</v>
      </c>
      <c r="D4" s="135">
        <v>333</v>
      </c>
      <c r="E4" s="131" t="s">
        <v>148</v>
      </c>
      <c r="F4" s="135">
        <v>540</v>
      </c>
      <c r="G4" s="367">
        <f t="shared" si="0"/>
        <v>0.6216216216216216</v>
      </c>
      <c r="H4" s="367"/>
      <c r="I4" s="367"/>
    </row>
    <row r="5" spans="1:9" ht="16.5" x14ac:dyDescent="0.3">
      <c r="A5" s="349"/>
      <c r="B5" s="350"/>
      <c r="C5" s="131" t="s">
        <v>149</v>
      </c>
      <c r="D5" s="134">
        <v>11756</v>
      </c>
      <c r="E5" s="131" t="s">
        <v>149</v>
      </c>
      <c r="F5" s="134">
        <v>13440</v>
      </c>
      <c r="G5" s="367">
        <f t="shared" si="0"/>
        <v>0.14324600204151072</v>
      </c>
      <c r="H5" s="367"/>
      <c r="I5" s="367"/>
    </row>
    <row r="6" spans="1:9" ht="16.5" x14ac:dyDescent="0.3">
      <c r="A6" s="351"/>
      <c r="B6" s="352"/>
      <c r="C6" s="131" t="s">
        <v>187</v>
      </c>
      <c r="D6" s="168">
        <f>SUM(D3+D4+D5)</f>
        <v>27692</v>
      </c>
      <c r="E6" s="131" t="s">
        <v>187</v>
      </c>
      <c r="F6" s="168">
        <f>SUM(F3+F4+F5)</f>
        <v>39731</v>
      </c>
      <c r="G6" s="367">
        <f t="shared" si="0"/>
        <v>0.43474649718330205</v>
      </c>
      <c r="H6" s="367"/>
      <c r="I6" s="367"/>
    </row>
    <row r="7" spans="1:9" ht="16.5" x14ac:dyDescent="0.3">
      <c r="A7" s="343" t="s">
        <v>296</v>
      </c>
      <c r="B7" s="344"/>
      <c r="C7" s="131" t="s">
        <v>147</v>
      </c>
      <c r="D7" s="134">
        <v>15655</v>
      </c>
      <c r="E7" s="131" t="s">
        <v>147</v>
      </c>
      <c r="F7" s="134">
        <v>20774</v>
      </c>
      <c r="G7" s="367">
        <f t="shared" si="0"/>
        <v>0.32698818268923668</v>
      </c>
      <c r="H7" s="367"/>
      <c r="I7" s="367"/>
    </row>
    <row r="8" spans="1:9" ht="16.5" x14ac:dyDescent="0.3">
      <c r="A8" s="353"/>
      <c r="B8" s="354"/>
      <c r="C8" s="131" t="s">
        <v>148</v>
      </c>
      <c r="D8" s="135">
        <v>581</v>
      </c>
      <c r="E8" s="131" t="s">
        <v>148</v>
      </c>
      <c r="F8" s="135">
        <v>737</v>
      </c>
      <c r="G8" s="367">
        <f t="shared" si="0"/>
        <v>0.26850258175559383</v>
      </c>
      <c r="H8" s="367"/>
      <c r="I8" s="367"/>
    </row>
    <row r="9" spans="1:9" ht="16.5" x14ac:dyDescent="0.3">
      <c r="A9" s="353"/>
      <c r="B9" s="354"/>
      <c r="C9" s="131" t="s">
        <v>149</v>
      </c>
      <c r="D9" s="134">
        <v>10748</v>
      </c>
      <c r="E9" s="131" t="s">
        <v>149</v>
      </c>
      <c r="F9" s="134">
        <v>12376</v>
      </c>
      <c r="G9" s="367">
        <f t="shared" si="0"/>
        <v>0.15147004093784891</v>
      </c>
      <c r="H9" s="367"/>
      <c r="I9" s="367"/>
    </row>
    <row r="10" spans="1:9" ht="16.5" x14ac:dyDescent="0.3">
      <c r="A10" s="355"/>
      <c r="B10" s="356"/>
      <c r="C10" s="131" t="s">
        <v>187</v>
      </c>
      <c r="D10" s="168">
        <f>SUM(D7+D8+D9)</f>
        <v>26984</v>
      </c>
      <c r="E10" s="131" t="s">
        <v>187</v>
      </c>
      <c r="F10" s="168">
        <f>SUM(F7+F8+F9)</f>
        <v>33887</v>
      </c>
      <c r="G10" s="367">
        <f t="shared" si="0"/>
        <v>0.25581826267417729</v>
      </c>
      <c r="H10" s="367"/>
      <c r="I10" s="367"/>
    </row>
    <row r="11" spans="1:9" ht="16.5" x14ac:dyDescent="0.3">
      <c r="A11" s="467" t="s">
        <v>297</v>
      </c>
      <c r="B11" s="467"/>
      <c r="C11" s="131" t="s">
        <v>147</v>
      </c>
      <c r="D11" s="134">
        <v>16267</v>
      </c>
      <c r="E11" s="131" t="s">
        <v>147</v>
      </c>
      <c r="F11" s="134">
        <v>15038</v>
      </c>
      <c r="G11" s="367">
        <f t="shared" si="0"/>
        <v>-7.5551730497325872E-2</v>
      </c>
      <c r="H11" s="367"/>
      <c r="I11" s="367"/>
    </row>
    <row r="12" spans="1:9" ht="16.5" x14ac:dyDescent="0.3">
      <c r="A12" s="467"/>
      <c r="B12" s="467"/>
      <c r="C12" s="131" t="s">
        <v>148</v>
      </c>
      <c r="D12" s="134">
        <v>577</v>
      </c>
      <c r="E12" s="131" t="s">
        <v>148</v>
      </c>
      <c r="F12">
        <v>605</v>
      </c>
      <c r="G12" s="367">
        <f t="shared" si="0"/>
        <v>4.852686308492201E-2</v>
      </c>
      <c r="H12" s="367"/>
      <c r="I12" s="367"/>
    </row>
    <row r="13" spans="1:9" ht="16.5" x14ac:dyDescent="0.3">
      <c r="A13" s="467"/>
      <c r="B13" s="467"/>
      <c r="C13" s="131" t="s">
        <v>149</v>
      </c>
      <c r="D13" s="134">
        <v>18964</v>
      </c>
      <c r="E13" s="131" t="s">
        <v>149</v>
      </c>
      <c r="F13" s="134">
        <v>12912</v>
      </c>
      <c r="G13" s="367">
        <f t="shared" si="0"/>
        <v>-0.31913098502425646</v>
      </c>
      <c r="H13" s="367"/>
      <c r="I13" s="367"/>
    </row>
    <row r="14" spans="1:9" ht="16.5" x14ac:dyDescent="0.3">
      <c r="A14" s="467"/>
      <c r="B14" s="467"/>
      <c r="C14" s="131" t="s">
        <v>187</v>
      </c>
      <c r="D14" s="168">
        <f>SUM(D11+D12+D13)</f>
        <v>35808</v>
      </c>
      <c r="E14" s="131" t="s">
        <v>187</v>
      </c>
      <c r="F14" s="168">
        <f>SUM(F11+F12+F13)</f>
        <v>28555</v>
      </c>
      <c r="G14" s="367">
        <f t="shared" si="0"/>
        <v>-0.20255250223413762</v>
      </c>
      <c r="H14" s="367"/>
      <c r="I14" s="367"/>
    </row>
    <row r="16" spans="1:9" ht="18.75" x14ac:dyDescent="0.3">
      <c r="C16" s="366" t="s">
        <v>290</v>
      </c>
      <c r="D16" s="366"/>
      <c r="E16" s="366"/>
      <c r="F16" s="366"/>
    </row>
    <row r="17" spans="1:9" ht="18.75" x14ac:dyDescent="0.3">
      <c r="C17" s="366" t="s">
        <v>281</v>
      </c>
      <c r="D17" s="366"/>
      <c r="E17" s="366" t="s">
        <v>282</v>
      </c>
      <c r="F17" s="366"/>
    </row>
    <row r="18" spans="1:9" ht="15" customHeight="1" x14ac:dyDescent="0.25">
      <c r="A18" s="347" t="s">
        <v>295</v>
      </c>
      <c r="B18" s="348"/>
      <c r="C18" s="131" t="s">
        <v>291</v>
      </c>
      <c r="D18" s="131">
        <v>1024</v>
      </c>
      <c r="E18" s="131" t="s">
        <v>291</v>
      </c>
      <c r="F18" s="136">
        <v>1024</v>
      </c>
    </row>
    <row r="19" spans="1:9" ht="15" customHeight="1" x14ac:dyDescent="0.25">
      <c r="A19" s="349"/>
      <c r="B19" s="350"/>
      <c r="C19" s="131" t="s">
        <v>292</v>
      </c>
      <c r="D19" s="131">
        <v>2048</v>
      </c>
      <c r="E19" s="131" t="s">
        <v>292</v>
      </c>
      <c r="F19" s="131">
        <v>512</v>
      </c>
    </row>
    <row r="20" spans="1:9" ht="15" customHeight="1" x14ac:dyDescent="0.25">
      <c r="A20" s="343" t="s">
        <v>296</v>
      </c>
      <c r="B20" s="344"/>
      <c r="C20" s="131" t="s">
        <v>291</v>
      </c>
      <c r="D20" s="131">
        <v>1024</v>
      </c>
      <c r="E20" s="131" t="s">
        <v>291</v>
      </c>
      <c r="F20" s="136">
        <v>1024</v>
      </c>
    </row>
    <row r="21" spans="1:9" ht="15" customHeight="1" x14ac:dyDescent="0.25">
      <c r="A21" s="353"/>
      <c r="B21" s="354"/>
      <c r="C21" s="131" t="s">
        <v>292</v>
      </c>
      <c r="D21" s="131">
        <v>2048</v>
      </c>
      <c r="E21" s="131" t="s">
        <v>292</v>
      </c>
      <c r="F21" s="131">
        <v>512</v>
      </c>
    </row>
    <row r="22" spans="1:9" ht="15" customHeight="1" x14ac:dyDescent="0.25">
      <c r="A22" s="457" t="s">
        <v>297</v>
      </c>
      <c r="B22" s="458"/>
      <c r="C22" s="131" t="s">
        <v>291</v>
      </c>
      <c r="D22" s="131">
        <v>1024</v>
      </c>
      <c r="E22" s="131" t="s">
        <v>291</v>
      </c>
      <c r="F22" s="136">
        <v>1024</v>
      </c>
    </row>
    <row r="23" spans="1:9" ht="15" customHeight="1" x14ac:dyDescent="0.25">
      <c r="A23" s="489"/>
      <c r="B23" s="490"/>
      <c r="C23" s="131" t="s">
        <v>292</v>
      </c>
      <c r="D23" s="131">
        <v>2048</v>
      </c>
      <c r="E23" s="131" t="s">
        <v>292</v>
      </c>
      <c r="F23" s="131">
        <v>512</v>
      </c>
    </row>
    <row r="24" spans="1:9" ht="15" customHeight="1" x14ac:dyDescent="0.25"/>
    <row r="25" spans="1:9" ht="15" customHeight="1" x14ac:dyDescent="0.3">
      <c r="A25" s="360" t="s">
        <v>294</v>
      </c>
      <c r="B25" s="360"/>
      <c r="C25" s="361" t="s">
        <v>293</v>
      </c>
      <c r="D25" s="362"/>
      <c r="E25" s="362"/>
      <c r="F25" s="363"/>
      <c r="G25" s="360" t="s">
        <v>140</v>
      </c>
      <c r="H25" s="360"/>
      <c r="I25" s="360"/>
    </row>
    <row r="26" spans="1:9" ht="15" customHeight="1" x14ac:dyDescent="0.3">
      <c r="A26" s="360"/>
      <c r="B26" s="360"/>
      <c r="C26" s="366" t="s">
        <v>281</v>
      </c>
      <c r="D26" s="366"/>
      <c r="E26" s="366" t="s">
        <v>282</v>
      </c>
      <c r="F26" s="366"/>
      <c r="G26" s="360"/>
      <c r="H26" s="360"/>
      <c r="I26" s="360"/>
    </row>
    <row r="27" spans="1:9" ht="15" customHeight="1" x14ac:dyDescent="0.3">
      <c r="A27" s="347" t="s">
        <v>295</v>
      </c>
      <c r="B27" s="348"/>
      <c r="C27" s="131" t="s">
        <v>147</v>
      </c>
      <c r="D27" s="134">
        <v>15603</v>
      </c>
      <c r="E27" s="131" t="s">
        <v>147</v>
      </c>
      <c r="F27" s="134">
        <v>25751</v>
      </c>
      <c r="G27" s="367">
        <f t="shared" ref="G27:G38" si="1">((F27-D27)/D27)</f>
        <v>0.65038774594629234</v>
      </c>
      <c r="H27" s="367"/>
      <c r="I27" s="367"/>
    </row>
    <row r="28" spans="1:9" ht="16.5" x14ac:dyDescent="0.3">
      <c r="A28" s="349"/>
      <c r="B28" s="350"/>
      <c r="C28" s="131" t="s">
        <v>148</v>
      </c>
      <c r="D28" s="135">
        <v>333</v>
      </c>
      <c r="E28" s="131" t="s">
        <v>148</v>
      </c>
      <c r="F28" s="135">
        <v>540</v>
      </c>
      <c r="G28" s="367">
        <f t="shared" si="1"/>
        <v>0.6216216216216216</v>
      </c>
      <c r="H28" s="367"/>
      <c r="I28" s="367"/>
    </row>
    <row r="29" spans="1:9" ht="16.5" x14ac:dyDescent="0.3">
      <c r="A29" s="349"/>
      <c r="B29" s="350"/>
      <c r="C29" s="131" t="s">
        <v>149</v>
      </c>
      <c r="D29" s="134">
        <f>11756+D19</f>
        <v>13804</v>
      </c>
      <c r="E29" s="131" t="s">
        <v>149</v>
      </c>
      <c r="F29" s="134">
        <f>13440+F19</f>
        <v>13952</v>
      </c>
      <c r="G29" s="367">
        <f t="shared" si="1"/>
        <v>1.0721529991306867E-2</v>
      </c>
      <c r="H29" s="367"/>
      <c r="I29" s="367"/>
    </row>
    <row r="30" spans="1:9" ht="16.5" x14ac:dyDescent="0.3">
      <c r="A30" s="351"/>
      <c r="B30" s="352"/>
      <c r="C30" s="131" t="s">
        <v>187</v>
      </c>
      <c r="D30" s="168">
        <f>SUM(D27+D28+D29)</f>
        <v>29740</v>
      </c>
      <c r="E30" s="131" t="s">
        <v>187</v>
      </c>
      <c r="F30" s="168">
        <f>SUM(F27+F28+F29)</f>
        <v>40243</v>
      </c>
      <c r="G30" s="367">
        <f t="shared" si="1"/>
        <v>0.35316072629455281</v>
      </c>
      <c r="H30" s="367"/>
      <c r="I30" s="367"/>
    </row>
    <row r="31" spans="1:9" ht="16.5" x14ac:dyDescent="0.3">
      <c r="A31" s="343" t="s">
        <v>296</v>
      </c>
      <c r="B31" s="344"/>
      <c r="C31" s="131" t="s">
        <v>147</v>
      </c>
      <c r="D31" s="134">
        <v>15655</v>
      </c>
      <c r="E31" s="131" t="s">
        <v>147</v>
      </c>
      <c r="F31" s="134">
        <v>20774</v>
      </c>
      <c r="G31" s="367">
        <f t="shared" si="1"/>
        <v>0.32698818268923668</v>
      </c>
      <c r="H31" s="367"/>
      <c r="I31" s="367"/>
    </row>
    <row r="32" spans="1:9" ht="16.5" x14ac:dyDescent="0.3">
      <c r="A32" s="353"/>
      <c r="B32" s="354"/>
      <c r="C32" s="131" t="s">
        <v>148</v>
      </c>
      <c r="D32" s="135">
        <v>581</v>
      </c>
      <c r="E32" s="131" t="s">
        <v>148</v>
      </c>
      <c r="F32" s="135">
        <v>737</v>
      </c>
      <c r="G32" s="367">
        <f t="shared" si="1"/>
        <v>0.26850258175559383</v>
      </c>
      <c r="H32" s="367"/>
      <c r="I32" s="367"/>
    </row>
    <row r="33" spans="1:9" ht="16.5" x14ac:dyDescent="0.3">
      <c r="A33" s="353"/>
      <c r="B33" s="354"/>
      <c r="C33" s="131" t="s">
        <v>149</v>
      </c>
      <c r="D33" s="134">
        <f>10748+D21</f>
        <v>12796</v>
      </c>
      <c r="E33" s="131" t="s">
        <v>149</v>
      </c>
      <c r="F33" s="134">
        <f>12376+F21</f>
        <v>12888</v>
      </c>
      <c r="G33" s="367">
        <f t="shared" si="1"/>
        <v>7.1897467958737101E-3</v>
      </c>
      <c r="H33" s="367"/>
      <c r="I33" s="367"/>
    </row>
    <row r="34" spans="1:9" ht="16.5" x14ac:dyDescent="0.3">
      <c r="A34" s="355"/>
      <c r="B34" s="356"/>
      <c r="C34" s="131" t="s">
        <v>187</v>
      </c>
      <c r="D34" s="168">
        <f>SUM(D31+D32+D33)</f>
        <v>29032</v>
      </c>
      <c r="E34" s="131" t="s">
        <v>187</v>
      </c>
      <c r="F34" s="168">
        <f>SUM(F31+F32+F33)</f>
        <v>34399</v>
      </c>
      <c r="G34" s="367">
        <f t="shared" si="1"/>
        <v>0.18486497657756959</v>
      </c>
      <c r="H34" s="367"/>
      <c r="I34" s="367"/>
    </row>
    <row r="35" spans="1:9" ht="16.5" x14ac:dyDescent="0.3">
      <c r="A35" s="467" t="s">
        <v>297</v>
      </c>
      <c r="B35" s="467"/>
      <c r="C35" s="131" t="s">
        <v>147</v>
      </c>
      <c r="D35" s="134">
        <v>16267</v>
      </c>
      <c r="E35" s="131" t="s">
        <v>147</v>
      </c>
      <c r="F35" s="134">
        <v>15038</v>
      </c>
      <c r="G35" s="367">
        <f t="shared" si="1"/>
        <v>-7.5551730497325872E-2</v>
      </c>
      <c r="H35" s="367"/>
      <c r="I35" s="367"/>
    </row>
    <row r="36" spans="1:9" ht="16.5" x14ac:dyDescent="0.3">
      <c r="A36" s="467"/>
      <c r="B36" s="467"/>
      <c r="C36" s="131" t="s">
        <v>148</v>
      </c>
      <c r="D36" s="134">
        <v>577</v>
      </c>
      <c r="E36" s="131" t="s">
        <v>148</v>
      </c>
      <c r="F36">
        <v>605</v>
      </c>
      <c r="G36" s="367">
        <f t="shared" si="1"/>
        <v>4.852686308492201E-2</v>
      </c>
      <c r="H36" s="367"/>
      <c r="I36" s="367"/>
    </row>
    <row r="37" spans="1:9" ht="16.5" x14ac:dyDescent="0.3">
      <c r="A37" s="467"/>
      <c r="B37" s="467"/>
      <c r="C37" s="131" t="s">
        <v>149</v>
      </c>
      <c r="D37" s="134">
        <f>18964+D23</f>
        <v>21012</v>
      </c>
      <c r="E37" s="131" t="s">
        <v>149</v>
      </c>
      <c r="F37" s="134">
        <f>12912+F23</f>
        <v>13424</v>
      </c>
      <c r="G37" s="367">
        <f t="shared" si="1"/>
        <v>-0.36112697506186942</v>
      </c>
      <c r="H37" s="367"/>
      <c r="I37" s="367"/>
    </row>
    <row r="38" spans="1:9" ht="16.5" x14ac:dyDescent="0.3">
      <c r="A38" s="467"/>
      <c r="B38" s="467"/>
      <c r="C38" s="131" t="s">
        <v>187</v>
      </c>
      <c r="D38" s="168">
        <f>SUM(D35+D36+D37)</f>
        <v>37856</v>
      </c>
      <c r="E38" s="131" t="s">
        <v>187</v>
      </c>
      <c r="F38" s="168">
        <f>SUM(F35+F36+F37)</f>
        <v>29067</v>
      </c>
      <c r="G38" s="367">
        <f t="shared" si="1"/>
        <v>-0.23216927303465765</v>
      </c>
      <c r="H38" s="367"/>
      <c r="I38" s="367"/>
    </row>
    <row r="40" spans="1:9" ht="18.75" x14ac:dyDescent="0.3">
      <c r="A40" s="360" t="s">
        <v>294</v>
      </c>
      <c r="B40" s="360"/>
      <c r="C40" s="361" t="s">
        <v>298</v>
      </c>
      <c r="D40" s="362"/>
      <c r="E40" s="362"/>
      <c r="F40" s="363"/>
      <c r="G40" s="360" t="s">
        <v>302</v>
      </c>
      <c r="H40" s="360"/>
      <c r="I40" s="360"/>
    </row>
    <row r="41" spans="1:9" ht="18.75" x14ac:dyDescent="0.3">
      <c r="A41" s="360"/>
      <c r="B41" s="360"/>
      <c r="C41" s="366" t="s">
        <v>281</v>
      </c>
      <c r="D41" s="366"/>
      <c r="E41" s="366" t="s">
        <v>282</v>
      </c>
      <c r="F41" s="366"/>
      <c r="G41" s="360"/>
      <c r="H41" s="360"/>
      <c r="I41" s="360"/>
    </row>
    <row r="42" spans="1:9" x14ac:dyDescent="0.25">
      <c r="A42" s="347" t="s">
        <v>301</v>
      </c>
      <c r="B42" s="348"/>
      <c r="C42" s="515">
        <v>47963.079008000001</v>
      </c>
      <c r="D42" s="515"/>
      <c r="E42" s="515">
        <v>47413.590931999999</v>
      </c>
      <c r="F42" s="515"/>
      <c r="G42" s="514">
        <f>(E42-C42)/C42</f>
        <v>-1.1456480429631084E-2</v>
      </c>
      <c r="H42" s="514"/>
      <c r="I42" s="514"/>
    </row>
    <row r="43" spans="1:9" x14ac:dyDescent="0.25">
      <c r="A43" s="349"/>
      <c r="B43" s="350"/>
      <c r="C43" s="515"/>
      <c r="D43" s="515"/>
      <c r="E43" s="515"/>
      <c r="F43" s="515"/>
      <c r="G43" s="514"/>
      <c r="H43" s="514"/>
      <c r="I43" s="514"/>
    </row>
    <row r="44" spans="1:9" x14ac:dyDescent="0.25">
      <c r="A44" s="343" t="s">
        <v>299</v>
      </c>
      <c r="B44" s="344"/>
      <c r="C44" s="515">
        <v>37988393.159999996</v>
      </c>
      <c r="D44" s="515"/>
      <c r="E44" s="515">
        <v>38621330.189999998</v>
      </c>
      <c r="F44" s="515"/>
      <c r="G44" s="514">
        <f>(E44-C44)/C44</f>
        <v>1.6661326719827001E-2</v>
      </c>
      <c r="H44" s="514"/>
      <c r="I44" s="514"/>
    </row>
    <row r="45" spans="1:9" x14ac:dyDescent="0.25">
      <c r="A45" s="353"/>
      <c r="B45" s="354"/>
      <c r="C45" s="515"/>
      <c r="D45" s="515"/>
      <c r="E45" s="515"/>
      <c r="F45" s="515"/>
      <c r="G45" s="514"/>
      <c r="H45" s="514"/>
      <c r="I45" s="514"/>
    </row>
    <row r="46" spans="1:9" x14ac:dyDescent="0.25">
      <c r="A46" s="457" t="s">
        <v>300</v>
      </c>
      <c r="B46" s="458"/>
      <c r="C46" s="515">
        <v>8696555</v>
      </c>
      <c r="D46" s="515"/>
      <c r="E46" s="515">
        <v>9078376</v>
      </c>
      <c r="F46" s="515"/>
      <c r="G46" s="514">
        <f>(E46-C46)/C46</f>
        <v>4.3904856578265761E-2</v>
      </c>
      <c r="H46" s="514"/>
      <c r="I46" s="514"/>
    </row>
    <row r="47" spans="1:9" x14ac:dyDescent="0.25">
      <c r="A47" s="489"/>
      <c r="B47" s="490"/>
      <c r="C47" s="515"/>
      <c r="D47" s="515"/>
      <c r="E47" s="515"/>
      <c r="F47" s="515"/>
      <c r="G47" s="514"/>
      <c r="H47" s="514"/>
      <c r="I47" s="514"/>
    </row>
  </sheetData>
  <mergeCells count="63">
    <mergeCell ref="G46:I47"/>
    <mergeCell ref="A42:B43"/>
    <mergeCell ref="A44:B45"/>
    <mergeCell ref="A46:B47"/>
    <mergeCell ref="C40:F40"/>
    <mergeCell ref="G40:I41"/>
    <mergeCell ref="C41:D41"/>
    <mergeCell ref="E41:F41"/>
    <mergeCell ref="C42:D43"/>
    <mergeCell ref="C44:D45"/>
    <mergeCell ref="C46:D47"/>
    <mergeCell ref="A40:B41"/>
    <mergeCell ref="E42:F43"/>
    <mergeCell ref="E44:F45"/>
    <mergeCell ref="E46:F47"/>
    <mergeCell ref="G42:I43"/>
    <mergeCell ref="G44:I45"/>
    <mergeCell ref="A35:B38"/>
    <mergeCell ref="G35:I35"/>
    <mergeCell ref="G36:I36"/>
    <mergeCell ref="G37:I37"/>
    <mergeCell ref="G38:I38"/>
    <mergeCell ref="A27:B30"/>
    <mergeCell ref="G27:I27"/>
    <mergeCell ref="G28:I28"/>
    <mergeCell ref="G29:I29"/>
    <mergeCell ref="G30:I30"/>
    <mergeCell ref="A31:B34"/>
    <mergeCell ref="G31:I31"/>
    <mergeCell ref="G32:I32"/>
    <mergeCell ref="G33:I33"/>
    <mergeCell ref="G34:I34"/>
    <mergeCell ref="A22:B23"/>
    <mergeCell ref="A25:B26"/>
    <mergeCell ref="C25:F25"/>
    <mergeCell ref="G25:I26"/>
    <mergeCell ref="C26:D26"/>
    <mergeCell ref="E26:F26"/>
    <mergeCell ref="C17:D17"/>
    <mergeCell ref="E17:F17"/>
    <mergeCell ref="A18:B19"/>
    <mergeCell ref="A20:B21"/>
    <mergeCell ref="A1:B2"/>
    <mergeCell ref="A3:B6"/>
    <mergeCell ref="A7:B10"/>
    <mergeCell ref="A11:B14"/>
    <mergeCell ref="C16:F16"/>
    <mergeCell ref="C1:F1"/>
    <mergeCell ref="G1:I2"/>
    <mergeCell ref="C2:D2"/>
    <mergeCell ref="E2:F2"/>
    <mergeCell ref="G3:I3"/>
    <mergeCell ref="G4:I4"/>
    <mergeCell ref="G10:I10"/>
    <mergeCell ref="G11:I11"/>
    <mergeCell ref="G12:I12"/>
    <mergeCell ref="G13:I13"/>
    <mergeCell ref="G14:I14"/>
    <mergeCell ref="G5:I5"/>
    <mergeCell ref="G6:I6"/>
    <mergeCell ref="G7:I7"/>
    <mergeCell ref="G8:I8"/>
    <mergeCell ref="G9:I9"/>
  </mergeCells>
  <conditionalFormatting sqref="G3:G14">
    <cfRule type="cellIs" dxfId="31" priority="5" operator="lessThan">
      <formula>0</formula>
    </cfRule>
    <cfRule type="cellIs" dxfId="30" priority="6" operator="greaterThan">
      <formula>0</formula>
    </cfRule>
  </conditionalFormatting>
  <conditionalFormatting sqref="G27:G38">
    <cfRule type="cellIs" dxfId="29" priority="3" operator="lessThan">
      <formula>0</formula>
    </cfRule>
    <cfRule type="cellIs" dxfId="28" priority="4" operator="greaterThan">
      <formula>0</formula>
    </cfRule>
  </conditionalFormatting>
  <conditionalFormatting sqref="G42:I47">
    <cfRule type="cellIs" dxfId="27" priority="1" operator="lessThan">
      <formula>0</formula>
    </cfRule>
    <cfRule type="cellIs" dxfId="26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EB0-1107-4A72-BC46-3BA7A6660E76}">
  <dimension ref="A1:N47"/>
  <sheetViews>
    <sheetView topLeftCell="D15" workbookViewId="0">
      <selection activeCell="M61" sqref="M61"/>
    </sheetView>
  </sheetViews>
  <sheetFormatPr defaultRowHeight="15" x14ac:dyDescent="0.25"/>
  <cols>
    <col min="2" max="2" width="38.28515625" customWidth="1"/>
    <col min="3" max="5" width="18.42578125" customWidth="1"/>
    <col min="6" max="6" width="22.85546875" customWidth="1"/>
    <col min="11" max="11" width="53.28515625" customWidth="1"/>
    <col min="12" max="12" width="37.28515625" customWidth="1"/>
    <col min="13" max="13" width="18.42578125" customWidth="1"/>
    <col min="14" max="14" width="17.85546875" customWidth="1"/>
    <col min="15" max="15" width="84.42578125" customWidth="1"/>
  </cols>
  <sheetData>
    <row r="1" spans="1:14" ht="18.75" x14ac:dyDescent="0.3">
      <c r="A1" s="360" t="s">
        <v>294</v>
      </c>
      <c r="B1" s="360"/>
      <c r="C1" s="361" t="s">
        <v>283</v>
      </c>
      <c r="D1" s="362"/>
      <c r="E1" s="362"/>
      <c r="F1" s="363"/>
      <c r="G1" s="360" t="s">
        <v>140</v>
      </c>
      <c r="H1" s="360"/>
      <c r="I1" s="360"/>
    </row>
    <row r="2" spans="1:14" ht="27.75" customHeight="1" x14ac:dyDescent="0.3">
      <c r="A2" s="360"/>
      <c r="B2" s="360"/>
      <c r="C2" s="366" t="s">
        <v>281</v>
      </c>
      <c r="D2" s="366"/>
      <c r="E2" s="366" t="s">
        <v>282</v>
      </c>
      <c r="F2" s="366"/>
      <c r="G2" s="360"/>
      <c r="H2" s="360"/>
      <c r="I2" s="360"/>
    </row>
    <row r="3" spans="1:14" ht="16.5" x14ac:dyDescent="0.3">
      <c r="A3" s="347" t="s">
        <v>295</v>
      </c>
      <c r="B3" s="348"/>
      <c r="C3" s="131" t="s">
        <v>147</v>
      </c>
      <c r="D3" s="134">
        <v>11070</v>
      </c>
      <c r="E3" s="131" t="s">
        <v>147</v>
      </c>
      <c r="F3" s="134">
        <v>20666</v>
      </c>
      <c r="G3" s="367">
        <f t="shared" ref="G3:G14" si="0">((F3-D3)/D3)</f>
        <v>0.8668473351400181</v>
      </c>
      <c r="H3" s="367"/>
      <c r="I3" s="367"/>
    </row>
    <row r="4" spans="1:14" ht="16.5" x14ac:dyDescent="0.3">
      <c r="A4" s="349"/>
      <c r="B4" s="350"/>
      <c r="C4" s="131" t="s">
        <v>148</v>
      </c>
      <c r="D4" s="135">
        <v>242</v>
      </c>
      <c r="E4" s="131" t="s">
        <v>148</v>
      </c>
      <c r="F4" s="135">
        <v>405</v>
      </c>
      <c r="G4" s="367">
        <f t="shared" si="0"/>
        <v>0.67355371900826444</v>
      </c>
      <c r="H4" s="367"/>
      <c r="I4" s="367"/>
      <c r="L4" s="232"/>
      <c r="M4" s="232"/>
    </row>
    <row r="5" spans="1:14" ht="16.5" x14ac:dyDescent="0.3">
      <c r="A5" s="349"/>
      <c r="B5" s="350"/>
      <c r="C5" s="131" t="s">
        <v>149</v>
      </c>
      <c r="D5" s="134">
        <v>11704</v>
      </c>
      <c r="E5" s="131" t="s">
        <v>149</v>
      </c>
      <c r="F5" s="134">
        <v>11936</v>
      </c>
      <c r="G5" s="367">
        <f t="shared" si="0"/>
        <v>1.9822282980177717E-2</v>
      </c>
      <c r="H5" s="367"/>
      <c r="I5" s="367"/>
      <c r="L5" s="232"/>
      <c r="M5" s="232"/>
      <c r="N5" s="232"/>
    </row>
    <row r="6" spans="1:14" ht="18.75" x14ac:dyDescent="0.3">
      <c r="A6" s="351"/>
      <c r="B6" s="352"/>
      <c r="C6" s="131" t="s">
        <v>187</v>
      </c>
      <c r="D6" s="168">
        <f>SUM(D3+D4+D5)</f>
        <v>23016</v>
      </c>
      <c r="E6" s="131" t="s">
        <v>187</v>
      </c>
      <c r="F6" s="168">
        <f>SUM(F3+F4+F5)</f>
        <v>33007</v>
      </c>
      <c r="G6" s="367">
        <f t="shared" si="0"/>
        <v>0.43408932916232185</v>
      </c>
      <c r="H6" s="367"/>
      <c r="I6" s="367"/>
      <c r="K6" s="144" t="s">
        <v>307</v>
      </c>
    </row>
    <row r="7" spans="1:14" ht="16.5" x14ac:dyDescent="0.3">
      <c r="A7" s="343" t="s">
        <v>296</v>
      </c>
      <c r="B7" s="344"/>
      <c r="C7" s="131" t="s">
        <v>147</v>
      </c>
      <c r="D7" s="134">
        <v>10418</v>
      </c>
      <c r="E7" s="131" t="s">
        <v>147</v>
      </c>
      <c r="F7" s="134">
        <v>20566</v>
      </c>
      <c r="G7" s="367">
        <f t="shared" si="0"/>
        <v>0.97408331733538112</v>
      </c>
      <c r="H7" s="367"/>
      <c r="I7" s="367"/>
      <c r="K7" s="292" t="s">
        <v>308</v>
      </c>
      <c r="L7" s="292" t="s">
        <v>309</v>
      </c>
      <c r="M7" s="292" t="s">
        <v>310</v>
      </c>
      <c r="N7" s="292" t="s">
        <v>311</v>
      </c>
    </row>
    <row r="8" spans="1:14" ht="16.5" x14ac:dyDescent="0.3">
      <c r="A8" s="353"/>
      <c r="B8" s="354"/>
      <c r="C8" s="131" t="s">
        <v>148</v>
      </c>
      <c r="D8" s="134">
        <v>1130</v>
      </c>
      <c r="E8" s="131" t="s">
        <v>148</v>
      </c>
      <c r="F8" s="134">
        <v>1369</v>
      </c>
      <c r="G8" s="367">
        <f t="shared" si="0"/>
        <v>0.21150442477876105</v>
      </c>
      <c r="H8" s="367"/>
      <c r="I8" s="367"/>
      <c r="K8" s="289" t="s">
        <v>312</v>
      </c>
      <c r="L8" s="290">
        <v>1804</v>
      </c>
      <c r="M8" s="290">
        <v>1804</v>
      </c>
      <c r="N8" s="290">
        <v>2224</v>
      </c>
    </row>
    <row r="9" spans="1:14" ht="16.5" x14ac:dyDescent="0.3">
      <c r="A9" s="353"/>
      <c r="B9" s="354"/>
      <c r="C9" s="131" t="s">
        <v>149</v>
      </c>
      <c r="D9" s="134">
        <v>10692</v>
      </c>
      <c r="E9" s="131" t="s">
        <v>149</v>
      </c>
      <c r="F9" s="134">
        <v>10928</v>
      </c>
      <c r="G9" s="367">
        <f t="shared" si="0"/>
        <v>2.2072577628133184E-2</v>
      </c>
      <c r="H9" s="367"/>
      <c r="I9" s="367"/>
      <c r="K9" s="289" t="s">
        <v>313</v>
      </c>
      <c r="L9" s="289">
        <v>756</v>
      </c>
      <c r="M9" s="289">
        <v>756</v>
      </c>
      <c r="N9" s="289">
        <v>768</v>
      </c>
    </row>
    <row r="10" spans="1:14" ht="16.5" x14ac:dyDescent="0.3">
      <c r="A10" s="355"/>
      <c r="B10" s="356"/>
      <c r="C10" s="131" t="s">
        <v>187</v>
      </c>
      <c r="D10" s="168">
        <f>SUM(D7+D8+D9)</f>
        <v>22240</v>
      </c>
      <c r="E10" s="131" t="s">
        <v>187</v>
      </c>
      <c r="F10" s="168">
        <f>SUM(F7+F8+F9)</f>
        <v>32863</v>
      </c>
      <c r="G10" s="367">
        <f t="shared" si="0"/>
        <v>0.4776528776978417</v>
      </c>
      <c r="H10" s="367"/>
      <c r="I10" s="367"/>
      <c r="K10" s="289" t="s">
        <v>314</v>
      </c>
      <c r="L10" s="289">
        <v>700</v>
      </c>
      <c r="M10" s="289">
        <v>700</v>
      </c>
      <c r="N10" s="289">
        <v>700</v>
      </c>
    </row>
    <row r="11" spans="1:14" ht="16.5" x14ac:dyDescent="0.3">
      <c r="A11" s="467" t="s">
        <v>297</v>
      </c>
      <c r="B11" s="467"/>
      <c r="C11" s="131" t="s">
        <v>147</v>
      </c>
      <c r="D11" s="134">
        <v>11146</v>
      </c>
      <c r="E11" s="131" t="s">
        <v>147</v>
      </c>
      <c r="F11" s="134">
        <v>21294</v>
      </c>
      <c r="G11" s="367">
        <f t="shared" si="0"/>
        <v>0.91046115198277411</v>
      </c>
      <c r="H11" s="367"/>
      <c r="I11" s="367"/>
      <c r="K11" s="289" t="s">
        <v>315</v>
      </c>
      <c r="L11" s="289">
        <v>118</v>
      </c>
      <c r="M11" s="289">
        <v>118</v>
      </c>
      <c r="N11" s="289">
        <v>144</v>
      </c>
    </row>
    <row r="12" spans="1:14" ht="16.5" x14ac:dyDescent="0.3">
      <c r="A12" s="467"/>
      <c r="B12" s="467"/>
      <c r="C12" s="131" t="s">
        <v>148</v>
      </c>
      <c r="D12" s="134">
        <v>1186</v>
      </c>
      <c r="E12" s="131" t="s">
        <v>148</v>
      </c>
      <c r="F12" s="232">
        <v>1425</v>
      </c>
      <c r="G12" s="367">
        <f t="shared" si="0"/>
        <v>0.20151770657672849</v>
      </c>
      <c r="H12" s="367"/>
      <c r="I12" s="367"/>
      <c r="K12" s="289" t="s">
        <v>316</v>
      </c>
      <c r="L12" s="289">
        <v>544</v>
      </c>
      <c r="M12" s="289">
        <v>544</v>
      </c>
      <c r="N12" s="289">
        <v>544</v>
      </c>
    </row>
    <row r="13" spans="1:14" ht="16.5" x14ac:dyDescent="0.3">
      <c r="A13" s="467"/>
      <c r="B13" s="467"/>
      <c r="C13" s="131" t="s">
        <v>149</v>
      </c>
      <c r="D13" s="134">
        <v>10716</v>
      </c>
      <c r="E13" s="131" t="s">
        <v>149</v>
      </c>
      <c r="F13" s="134">
        <v>10952</v>
      </c>
      <c r="G13" s="367">
        <f t="shared" si="0"/>
        <v>2.2023142963792462E-2</v>
      </c>
      <c r="H13" s="367"/>
      <c r="I13" s="367"/>
      <c r="K13" s="289" t="s">
        <v>317</v>
      </c>
      <c r="L13" s="289">
        <v>208</v>
      </c>
      <c r="M13" s="289">
        <v>208</v>
      </c>
      <c r="N13" s="289">
        <v>208</v>
      </c>
    </row>
    <row r="14" spans="1:14" ht="16.5" x14ac:dyDescent="0.3">
      <c r="A14" s="467"/>
      <c r="B14" s="467"/>
      <c r="C14" s="131" t="s">
        <v>187</v>
      </c>
      <c r="D14" s="168">
        <f>SUM(D11+D12+D13)</f>
        <v>23048</v>
      </c>
      <c r="E14" s="131" t="s">
        <v>187</v>
      </c>
      <c r="F14" s="168">
        <f>SUM(F11+F12+F13)</f>
        <v>33671</v>
      </c>
      <c r="G14" s="367">
        <f t="shared" si="0"/>
        <v>0.46090767094758767</v>
      </c>
      <c r="H14" s="367"/>
      <c r="I14" s="367"/>
      <c r="K14" s="289" t="s">
        <v>318</v>
      </c>
      <c r="L14" s="289">
        <v>500</v>
      </c>
      <c r="M14" s="289">
        <v>500</v>
      </c>
      <c r="N14" s="289">
        <v>500</v>
      </c>
    </row>
    <row r="15" spans="1:14" ht="33" x14ac:dyDescent="0.25">
      <c r="K15" s="288" t="s">
        <v>187</v>
      </c>
      <c r="L15" s="288" t="s">
        <v>319</v>
      </c>
      <c r="M15" s="291">
        <v>4630</v>
      </c>
      <c r="N15" s="291">
        <v>5088</v>
      </c>
    </row>
    <row r="16" spans="1:14" ht="18.75" x14ac:dyDescent="0.3">
      <c r="C16" s="366" t="s">
        <v>290</v>
      </c>
      <c r="D16" s="366"/>
      <c r="E16" s="366"/>
      <c r="F16" s="366"/>
    </row>
    <row r="17" spans="1:14" ht="18.75" x14ac:dyDescent="0.3">
      <c r="C17" s="366" t="s">
        <v>281</v>
      </c>
      <c r="D17" s="366"/>
      <c r="E17" s="366" t="s">
        <v>282</v>
      </c>
      <c r="F17" s="366"/>
    </row>
    <row r="18" spans="1:14" x14ac:dyDescent="0.25">
      <c r="A18" s="347" t="s">
        <v>295</v>
      </c>
      <c r="B18" s="348"/>
      <c r="C18" s="131" t="s">
        <v>291</v>
      </c>
      <c r="D18" s="131">
        <v>1024</v>
      </c>
      <c r="E18" s="131" t="s">
        <v>291</v>
      </c>
      <c r="F18" s="136">
        <v>1024</v>
      </c>
    </row>
    <row r="19" spans="1:14" x14ac:dyDescent="0.25">
      <c r="A19" s="349"/>
      <c r="B19" s="350"/>
      <c r="C19" s="131" t="s">
        <v>292</v>
      </c>
      <c r="D19" s="131">
        <v>2048</v>
      </c>
      <c r="E19" s="131" t="s">
        <v>292</v>
      </c>
      <c r="F19" s="131">
        <v>512</v>
      </c>
    </row>
    <row r="20" spans="1:14" ht="18.75" x14ac:dyDescent="0.3">
      <c r="A20" s="343" t="s">
        <v>296</v>
      </c>
      <c r="B20" s="344"/>
      <c r="C20" s="131" t="s">
        <v>291</v>
      </c>
      <c r="D20" s="131">
        <v>1024</v>
      </c>
      <c r="E20" s="131" t="s">
        <v>291</v>
      </c>
      <c r="F20" s="136">
        <v>1024</v>
      </c>
      <c r="K20" s="144" t="s">
        <v>320</v>
      </c>
    </row>
    <row r="21" spans="1:14" ht="16.5" x14ac:dyDescent="0.25">
      <c r="A21" s="353"/>
      <c r="B21" s="354"/>
      <c r="C21" s="131" t="s">
        <v>292</v>
      </c>
      <c r="D21" s="131">
        <v>2048</v>
      </c>
      <c r="E21" s="131" t="s">
        <v>292</v>
      </c>
      <c r="F21" s="131">
        <v>512</v>
      </c>
      <c r="K21" s="293" t="s">
        <v>240</v>
      </c>
      <c r="L21" s="293" t="s">
        <v>304</v>
      </c>
      <c r="M21" s="293" t="s">
        <v>305</v>
      </c>
      <c r="N21" s="293" t="s">
        <v>306</v>
      </c>
    </row>
    <row r="22" spans="1:14" ht="16.5" x14ac:dyDescent="0.25">
      <c r="A22" s="457" t="s">
        <v>297</v>
      </c>
      <c r="B22" s="458"/>
      <c r="C22" s="131" t="s">
        <v>291</v>
      </c>
      <c r="D22" s="131">
        <v>1024</v>
      </c>
      <c r="E22" s="131" t="s">
        <v>291</v>
      </c>
      <c r="F22" s="136">
        <v>1024</v>
      </c>
      <c r="K22" s="289" t="s">
        <v>321</v>
      </c>
      <c r="L22" s="290">
        <v>7204</v>
      </c>
      <c r="M22" s="289">
        <v>464</v>
      </c>
      <c r="N22" s="294">
        <v>6740</v>
      </c>
    </row>
    <row r="23" spans="1:14" ht="16.5" x14ac:dyDescent="0.25">
      <c r="A23" s="489"/>
      <c r="B23" s="490"/>
      <c r="C23" s="131" t="s">
        <v>292</v>
      </c>
      <c r="D23" s="131">
        <v>2048</v>
      </c>
      <c r="E23" s="131" t="s">
        <v>292</v>
      </c>
      <c r="F23" s="131">
        <v>512</v>
      </c>
      <c r="K23" s="289" t="s">
        <v>322</v>
      </c>
      <c r="L23" s="290">
        <v>1636</v>
      </c>
      <c r="M23" s="289">
        <v>572</v>
      </c>
      <c r="N23" s="294">
        <v>1064</v>
      </c>
    </row>
    <row r="24" spans="1:14" ht="16.5" x14ac:dyDescent="0.25">
      <c r="K24" s="289" t="s">
        <v>323</v>
      </c>
      <c r="L24" s="290">
        <v>1136</v>
      </c>
      <c r="M24" s="289">
        <v>0</v>
      </c>
      <c r="N24" s="294">
        <v>1136</v>
      </c>
    </row>
    <row r="25" spans="1:14" ht="15" customHeight="1" x14ac:dyDescent="0.3">
      <c r="A25" s="360" t="s">
        <v>294</v>
      </c>
      <c r="B25" s="360"/>
      <c r="C25" s="361" t="s">
        <v>293</v>
      </c>
      <c r="D25" s="362"/>
      <c r="E25" s="362"/>
      <c r="F25" s="363"/>
      <c r="G25" s="360" t="s">
        <v>140</v>
      </c>
      <c r="H25" s="360"/>
      <c r="I25" s="360"/>
      <c r="K25" s="289" t="s">
        <v>324</v>
      </c>
      <c r="L25" s="289">
        <v>540</v>
      </c>
      <c r="M25" s="289">
        <v>188</v>
      </c>
      <c r="N25" s="295">
        <v>352</v>
      </c>
    </row>
    <row r="26" spans="1:14" ht="15" customHeight="1" x14ac:dyDescent="0.3">
      <c r="A26" s="360"/>
      <c r="B26" s="360"/>
      <c r="C26" s="366" t="s">
        <v>281</v>
      </c>
      <c r="D26" s="366"/>
      <c r="E26" s="366" t="s">
        <v>282</v>
      </c>
      <c r="F26" s="366"/>
      <c r="G26" s="360"/>
      <c r="H26" s="360"/>
      <c r="I26" s="360"/>
      <c r="K26" s="289" t="s">
        <v>325</v>
      </c>
      <c r="L26" s="289">
        <v>276</v>
      </c>
      <c r="M26" s="289">
        <v>0</v>
      </c>
      <c r="N26" s="295">
        <v>276</v>
      </c>
    </row>
    <row r="27" spans="1:14" ht="15" customHeight="1" x14ac:dyDescent="0.3">
      <c r="A27" s="347" t="s">
        <v>295</v>
      </c>
      <c r="B27" s="348"/>
      <c r="C27" s="131" t="s">
        <v>147</v>
      </c>
      <c r="D27" s="134">
        <v>11070</v>
      </c>
      <c r="E27" s="131" t="s">
        <v>147</v>
      </c>
      <c r="F27" s="134">
        <v>20666</v>
      </c>
      <c r="G27" s="367">
        <f t="shared" ref="G27:G38" si="1">((F27-D27)/D27)</f>
        <v>0.8668473351400181</v>
      </c>
      <c r="H27" s="367"/>
      <c r="I27" s="367"/>
      <c r="K27" s="289" t="s">
        <v>326</v>
      </c>
      <c r="L27" s="289">
        <v>224</v>
      </c>
      <c r="M27" s="289">
        <v>24</v>
      </c>
      <c r="N27" s="295">
        <v>200</v>
      </c>
    </row>
    <row r="28" spans="1:14" ht="16.5" x14ac:dyDescent="0.3">
      <c r="A28" s="349"/>
      <c r="B28" s="350"/>
      <c r="C28" s="131" t="s">
        <v>148</v>
      </c>
      <c r="D28" s="135">
        <v>242</v>
      </c>
      <c r="E28" s="131" t="s">
        <v>148</v>
      </c>
      <c r="F28" s="135">
        <v>405</v>
      </c>
      <c r="G28" s="367">
        <f t="shared" si="1"/>
        <v>0.67355371900826444</v>
      </c>
      <c r="H28" s="367"/>
      <c r="I28" s="367"/>
      <c r="K28" s="289" t="s">
        <v>327</v>
      </c>
      <c r="L28" s="289">
        <v>112</v>
      </c>
      <c r="M28" s="289">
        <v>0</v>
      </c>
      <c r="N28" s="295">
        <v>112</v>
      </c>
    </row>
    <row r="29" spans="1:14" ht="16.5" x14ac:dyDescent="0.3">
      <c r="A29" s="349"/>
      <c r="B29" s="350"/>
      <c r="C29" s="131" t="s">
        <v>149</v>
      </c>
      <c r="D29" s="134">
        <f>D5+D19</f>
        <v>13752</v>
      </c>
      <c r="E29" s="131" t="s">
        <v>149</v>
      </c>
      <c r="F29" s="134">
        <f>F5+F19</f>
        <v>12448</v>
      </c>
      <c r="G29" s="367">
        <f t="shared" si="1"/>
        <v>-9.4822571262361835E-2</v>
      </c>
      <c r="H29" s="367"/>
      <c r="I29" s="367"/>
      <c r="K29" s="289" t="s">
        <v>328</v>
      </c>
      <c r="L29" s="289">
        <v>56</v>
      </c>
      <c r="M29" s="289">
        <v>0</v>
      </c>
      <c r="N29" s="295">
        <v>56</v>
      </c>
    </row>
    <row r="30" spans="1:14" ht="16.5" x14ac:dyDescent="0.3">
      <c r="A30" s="351"/>
      <c r="B30" s="352"/>
      <c r="C30" s="131" t="s">
        <v>187</v>
      </c>
      <c r="D30" s="168">
        <f>SUM(D27+D28+D29)</f>
        <v>25064</v>
      </c>
      <c r="E30" s="131" t="s">
        <v>187</v>
      </c>
      <c r="F30" s="168">
        <f>SUM(F27+F28+F29)</f>
        <v>33519</v>
      </c>
      <c r="G30" s="367">
        <f t="shared" si="1"/>
        <v>0.33733641876795406</v>
      </c>
      <c r="H30" s="367"/>
      <c r="I30" s="367"/>
      <c r="K30" s="288" t="s">
        <v>329</v>
      </c>
      <c r="L30" s="288" t="s">
        <v>330</v>
      </c>
      <c r="M30" s="288" t="s">
        <v>331</v>
      </c>
      <c r="N30" s="296">
        <v>9936</v>
      </c>
    </row>
    <row r="31" spans="1:14" ht="16.5" x14ac:dyDescent="0.3">
      <c r="A31" s="343" t="s">
        <v>296</v>
      </c>
      <c r="B31" s="344"/>
      <c r="C31" s="131" t="s">
        <v>147</v>
      </c>
      <c r="D31" s="134">
        <v>10418</v>
      </c>
      <c r="E31" s="131" t="s">
        <v>147</v>
      </c>
      <c r="F31" s="134">
        <v>20566</v>
      </c>
      <c r="G31" s="367">
        <f>((F31-D31)/D31)</f>
        <v>0.97408331733538112</v>
      </c>
      <c r="H31" s="367"/>
      <c r="I31" s="367"/>
    </row>
    <row r="32" spans="1:14" ht="16.5" x14ac:dyDescent="0.3">
      <c r="A32" s="353"/>
      <c r="B32" s="354"/>
      <c r="C32" s="131" t="s">
        <v>148</v>
      </c>
      <c r="D32" s="135">
        <v>1130</v>
      </c>
      <c r="E32" s="131" t="s">
        <v>148</v>
      </c>
      <c r="F32" s="135">
        <v>1369</v>
      </c>
      <c r="G32" s="367">
        <f t="shared" si="1"/>
        <v>0.21150442477876105</v>
      </c>
      <c r="H32" s="367"/>
      <c r="I32" s="367"/>
    </row>
    <row r="33" spans="1:9" ht="16.5" x14ac:dyDescent="0.3">
      <c r="A33" s="353"/>
      <c r="B33" s="354"/>
      <c r="C33" s="131" t="s">
        <v>149</v>
      </c>
      <c r="D33" s="134">
        <f>D9+D21</f>
        <v>12740</v>
      </c>
      <c r="E33" s="131" t="s">
        <v>149</v>
      </c>
      <c r="F33" s="134">
        <f>F9+F21</f>
        <v>11440</v>
      </c>
      <c r="G33" s="367">
        <f t="shared" si="1"/>
        <v>-0.10204081632653061</v>
      </c>
      <c r="H33" s="367"/>
      <c r="I33" s="367"/>
    </row>
    <row r="34" spans="1:9" ht="16.5" x14ac:dyDescent="0.3">
      <c r="A34" s="355"/>
      <c r="B34" s="356"/>
      <c r="C34" s="131" t="s">
        <v>187</v>
      </c>
      <c r="D34" s="168">
        <f>SUM(D31+D32+D33)</f>
        <v>24288</v>
      </c>
      <c r="E34" s="131" t="s">
        <v>187</v>
      </c>
      <c r="F34" s="168">
        <f>SUM(F31+F32+F33)</f>
        <v>33375</v>
      </c>
      <c r="G34" s="367">
        <f t="shared" si="1"/>
        <v>0.37413537549407117</v>
      </c>
      <c r="H34" s="367"/>
      <c r="I34" s="367"/>
    </row>
    <row r="35" spans="1:9" ht="16.5" x14ac:dyDescent="0.3">
      <c r="A35" s="467" t="s">
        <v>297</v>
      </c>
      <c r="B35" s="467"/>
      <c r="C35" s="131" t="s">
        <v>147</v>
      </c>
      <c r="D35" s="134">
        <v>11146</v>
      </c>
      <c r="E35" s="131" t="s">
        <v>147</v>
      </c>
      <c r="F35" s="134">
        <v>21294</v>
      </c>
      <c r="G35" s="367">
        <f t="shared" si="1"/>
        <v>0.91046115198277411</v>
      </c>
      <c r="H35" s="367"/>
      <c r="I35" s="367"/>
    </row>
    <row r="36" spans="1:9" ht="16.5" x14ac:dyDescent="0.3">
      <c r="A36" s="467"/>
      <c r="B36" s="467"/>
      <c r="C36" s="131" t="s">
        <v>148</v>
      </c>
      <c r="D36" s="134">
        <v>1186</v>
      </c>
      <c r="E36" s="131" t="s">
        <v>148</v>
      </c>
      <c r="F36" s="232">
        <v>1425</v>
      </c>
      <c r="G36" s="367">
        <f t="shared" si="1"/>
        <v>0.20151770657672849</v>
      </c>
      <c r="H36" s="367"/>
      <c r="I36" s="367"/>
    </row>
    <row r="37" spans="1:9" ht="16.5" x14ac:dyDescent="0.3">
      <c r="A37" s="467"/>
      <c r="B37" s="467"/>
      <c r="C37" s="131" t="s">
        <v>149</v>
      </c>
      <c r="D37" s="134">
        <f>D13+D23</f>
        <v>12764</v>
      </c>
      <c r="E37" s="131" t="s">
        <v>149</v>
      </c>
      <c r="F37" s="134">
        <f>F13+F23</f>
        <v>11464</v>
      </c>
      <c r="G37" s="367">
        <f t="shared" si="1"/>
        <v>-0.10184895017235976</v>
      </c>
      <c r="H37" s="367"/>
      <c r="I37" s="367"/>
    </row>
    <row r="38" spans="1:9" ht="16.5" x14ac:dyDescent="0.3">
      <c r="A38" s="467"/>
      <c r="B38" s="467"/>
      <c r="C38" s="131" t="s">
        <v>187</v>
      </c>
      <c r="D38" s="168">
        <f>SUM(D35+D36+D37)</f>
        <v>25096</v>
      </c>
      <c r="E38" s="131" t="s">
        <v>187</v>
      </c>
      <c r="F38" s="168">
        <f>SUM(F35+F36+F37)</f>
        <v>34183</v>
      </c>
      <c r="G38" s="367">
        <f t="shared" si="1"/>
        <v>0.36208957602805231</v>
      </c>
      <c r="H38" s="367"/>
      <c r="I38" s="367"/>
    </row>
    <row r="40" spans="1:9" ht="18.75" x14ac:dyDescent="0.3">
      <c r="A40" s="360" t="s">
        <v>294</v>
      </c>
      <c r="B40" s="360"/>
      <c r="C40" s="361" t="s">
        <v>298</v>
      </c>
      <c r="D40" s="362"/>
      <c r="E40" s="362"/>
      <c r="F40" s="363"/>
      <c r="G40" s="360" t="s">
        <v>302</v>
      </c>
      <c r="H40" s="360"/>
      <c r="I40" s="360"/>
    </row>
    <row r="41" spans="1:9" ht="18.75" x14ac:dyDescent="0.3">
      <c r="A41" s="360"/>
      <c r="B41" s="360"/>
      <c r="C41" s="366" t="s">
        <v>281</v>
      </c>
      <c r="D41" s="366"/>
      <c r="E41" s="366" t="s">
        <v>282</v>
      </c>
      <c r="F41" s="366"/>
      <c r="G41" s="360"/>
      <c r="H41" s="360"/>
      <c r="I41" s="360"/>
    </row>
    <row r="42" spans="1:9" x14ac:dyDescent="0.25">
      <c r="A42" s="347" t="s">
        <v>301</v>
      </c>
      <c r="B42" s="348"/>
      <c r="C42" s="516">
        <v>1438652</v>
      </c>
      <c r="D42" s="515"/>
      <c r="E42" s="516">
        <v>1438258</v>
      </c>
      <c r="F42" s="515"/>
      <c r="G42" s="514">
        <f>(E42-C42)/C42</f>
        <v>-2.7386748150351855E-4</v>
      </c>
      <c r="H42" s="514"/>
      <c r="I42" s="514"/>
    </row>
    <row r="43" spans="1:9" x14ac:dyDescent="0.25">
      <c r="A43" s="349"/>
      <c r="B43" s="350"/>
      <c r="C43" s="515"/>
      <c r="D43" s="515"/>
      <c r="E43" s="515"/>
      <c r="F43" s="515"/>
      <c r="G43" s="514"/>
      <c r="H43" s="514"/>
      <c r="I43" s="514"/>
    </row>
    <row r="44" spans="1:9" x14ac:dyDescent="0.25">
      <c r="A44" s="343" t="s">
        <v>299</v>
      </c>
      <c r="B44" s="344"/>
      <c r="C44" s="516">
        <v>7369997</v>
      </c>
      <c r="D44" s="515"/>
      <c r="E44" s="516">
        <v>7491997</v>
      </c>
      <c r="F44" s="515"/>
      <c r="G44" s="514">
        <f>(E44-C44)/C44</f>
        <v>1.6553602396310339E-2</v>
      </c>
      <c r="H44" s="514"/>
      <c r="I44" s="514"/>
    </row>
    <row r="45" spans="1:9" x14ac:dyDescent="0.25">
      <c r="A45" s="353"/>
      <c r="B45" s="354"/>
      <c r="C45" s="515"/>
      <c r="D45" s="515"/>
      <c r="E45" s="515"/>
      <c r="F45" s="515"/>
      <c r="G45" s="514"/>
      <c r="H45" s="514"/>
      <c r="I45" s="514"/>
    </row>
    <row r="46" spans="1:9" x14ac:dyDescent="0.25">
      <c r="A46" s="457" t="s">
        <v>300</v>
      </c>
      <c r="B46" s="458"/>
      <c r="C46" s="516">
        <v>1740670</v>
      </c>
      <c r="D46" s="515"/>
      <c r="E46" s="516">
        <v>1799594</v>
      </c>
      <c r="F46" s="515"/>
      <c r="G46" s="514">
        <f>(E46-C46)/C46</f>
        <v>3.3851333107366703E-2</v>
      </c>
      <c r="H46" s="514"/>
      <c r="I46" s="514"/>
    </row>
    <row r="47" spans="1:9" x14ac:dyDescent="0.25">
      <c r="A47" s="489"/>
      <c r="B47" s="490"/>
      <c r="C47" s="515"/>
      <c r="D47" s="515"/>
      <c r="E47" s="515"/>
      <c r="F47" s="515"/>
      <c r="G47" s="514"/>
      <c r="H47" s="514"/>
      <c r="I47" s="514"/>
    </row>
  </sheetData>
  <mergeCells count="63">
    <mergeCell ref="A46:B47"/>
    <mergeCell ref="C46:D47"/>
    <mergeCell ref="E46:F47"/>
    <mergeCell ref="G46:I47"/>
    <mergeCell ref="G40:I41"/>
    <mergeCell ref="C41:D41"/>
    <mergeCell ref="E41:F41"/>
    <mergeCell ref="A44:B45"/>
    <mergeCell ref="C44:D45"/>
    <mergeCell ref="E44:F45"/>
    <mergeCell ref="G44:I45"/>
    <mergeCell ref="A42:B43"/>
    <mergeCell ref="C42:D43"/>
    <mergeCell ref="E42:F43"/>
    <mergeCell ref="G42:I43"/>
    <mergeCell ref="A40:B41"/>
    <mergeCell ref="A31:B34"/>
    <mergeCell ref="G31:I31"/>
    <mergeCell ref="G32:I32"/>
    <mergeCell ref="G33:I33"/>
    <mergeCell ref="G34:I34"/>
    <mergeCell ref="C40:F40"/>
    <mergeCell ref="A25:B26"/>
    <mergeCell ref="C25:F25"/>
    <mergeCell ref="G25:I26"/>
    <mergeCell ref="C26:D26"/>
    <mergeCell ref="E26:F26"/>
    <mergeCell ref="A27:B30"/>
    <mergeCell ref="G27:I27"/>
    <mergeCell ref="G28:I28"/>
    <mergeCell ref="G29:I29"/>
    <mergeCell ref="G30:I30"/>
    <mergeCell ref="A35:B38"/>
    <mergeCell ref="G35:I35"/>
    <mergeCell ref="G36:I36"/>
    <mergeCell ref="G37:I37"/>
    <mergeCell ref="G38:I38"/>
    <mergeCell ref="A22:B23"/>
    <mergeCell ref="A7:B10"/>
    <mergeCell ref="G7:I7"/>
    <mergeCell ref="G8:I8"/>
    <mergeCell ref="G9:I9"/>
    <mergeCell ref="G10:I10"/>
    <mergeCell ref="A11:B14"/>
    <mergeCell ref="G11:I11"/>
    <mergeCell ref="G12:I12"/>
    <mergeCell ref="G13:I13"/>
    <mergeCell ref="G14:I14"/>
    <mergeCell ref="C16:F16"/>
    <mergeCell ref="C17:D17"/>
    <mergeCell ref="E17:F17"/>
    <mergeCell ref="A18:B19"/>
    <mergeCell ref="A20:B21"/>
    <mergeCell ref="A1:B2"/>
    <mergeCell ref="C1:F1"/>
    <mergeCell ref="G1:I2"/>
    <mergeCell ref="C2:D2"/>
    <mergeCell ref="E2:F2"/>
    <mergeCell ref="A3:B6"/>
    <mergeCell ref="G3:I3"/>
    <mergeCell ref="G4:I4"/>
    <mergeCell ref="G5:I5"/>
    <mergeCell ref="G6:I6"/>
  </mergeCells>
  <conditionalFormatting sqref="G3:G14">
    <cfRule type="cellIs" dxfId="25" priority="5" operator="lessThan">
      <formula>0</formula>
    </cfRule>
    <cfRule type="cellIs" dxfId="24" priority="6" operator="greaterThan">
      <formula>0</formula>
    </cfRule>
  </conditionalFormatting>
  <conditionalFormatting sqref="G27:G38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G42:I47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1E77-8278-49F0-A053-E43F88B0FE7E}">
  <dimension ref="A1:I47"/>
  <sheetViews>
    <sheetView topLeftCell="A26" workbookViewId="0">
      <selection activeCell="M24" sqref="M24"/>
    </sheetView>
  </sheetViews>
  <sheetFormatPr defaultRowHeight="15" x14ac:dyDescent="0.25"/>
  <cols>
    <col min="2" max="2" width="38.28515625" customWidth="1"/>
    <col min="3" max="5" width="18.42578125" customWidth="1"/>
    <col min="6" max="6" width="22.85546875" customWidth="1"/>
  </cols>
  <sheetData>
    <row r="1" spans="1:9" ht="18.75" x14ac:dyDescent="0.3">
      <c r="A1" s="360" t="s">
        <v>294</v>
      </c>
      <c r="B1" s="360"/>
      <c r="C1" s="361" t="s">
        <v>283</v>
      </c>
      <c r="D1" s="362"/>
      <c r="E1" s="362"/>
      <c r="F1" s="363"/>
      <c r="G1" s="360" t="s">
        <v>140</v>
      </c>
      <c r="H1" s="360"/>
      <c r="I1" s="360"/>
    </row>
    <row r="2" spans="1:9" ht="27.75" customHeight="1" x14ac:dyDescent="0.3">
      <c r="A2" s="360"/>
      <c r="B2" s="360"/>
      <c r="C2" s="366" t="s">
        <v>281</v>
      </c>
      <c r="D2" s="366"/>
      <c r="E2" s="366" t="s">
        <v>282</v>
      </c>
      <c r="F2" s="366"/>
      <c r="G2" s="360"/>
      <c r="H2" s="360"/>
      <c r="I2" s="360"/>
    </row>
    <row r="3" spans="1:9" ht="16.5" x14ac:dyDescent="0.3">
      <c r="A3" s="347" t="s">
        <v>295</v>
      </c>
      <c r="B3" s="348"/>
      <c r="C3" s="131" t="s">
        <v>147</v>
      </c>
      <c r="D3" s="134">
        <v>11118</v>
      </c>
      <c r="E3" s="131" t="s">
        <v>147</v>
      </c>
      <c r="F3" s="134">
        <v>20714</v>
      </c>
      <c r="G3" s="367">
        <f t="shared" ref="G3:G14" si="0">((F3-D3)/D3)</f>
        <v>0.86310487497751398</v>
      </c>
      <c r="H3" s="367"/>
      <c r="I3" s="367"/>
    </row>
    <row r="4" spans="1:9" ht="16.5" x14ac:dyDescent="0.3">
      <c r="A4" s="349"/>
      <c r="B4" s="350"/>
      <c r="C4" s="131" t="s">
        <v>148</v>
      </c>
      <c r="D4" s="135">
        <v>242</v>
      </c>
      <c r="E4" s="131" t="s">
        <v>148</v>
      </c>
      <c r="F4" s="135">
        <v>405</v>
      </c>
      <c r="G4" s="367">
        <f t="shared" si="0"/>
        <v>0.67355371900826444</v>
      </c>
      <c r="H4" s="367"/>
      <c r="I4" s="367"/>
    </row>
    <row r="5" spans="1:9" ht="16.5" x14ac:dyDescent="0.3">
      <c r="A5" s="349"/>
      <c r="B5" s="350"/>
      <c r="C5" s="131" t="s">
        <v>149</v>
      </c>
      <c r="D5" s="134">
        <v>11704</v>
      </c>
      <c r="E5" s="131" t="s">
        <v>149</v>
      </c>
      <c r="F5" s="134">
        <v>11936</v>
      </c>
      <c r="G5" s="367">
        <f t="shared" si="0"/>
        <v>1.9822282980177717E-2</v>
      </c>
      <c r="H5" s="367"/>
      <c r="I5" s="367"/>
    </row>
    <row r="6" spans="1:9" ht="16.5" x14ac:dyDescent="0.3">
      <c r="A6" s="351"/>
      <c r="B6" s="352"/>
      <c r="C6" s="131" t="s">
        <v>187</v>
      </c>
      <c r="D6" s="168">
        <f>SUM(D3+D4+D5)</f>
        <v>23064</v>
      </c>
      <c r="E6" s="131" t="s">
        <v>187</v>
      </c>
      <c r="F6" s="168">
        <f>SUM(F3+F4+F5)</f>
        <v>33055</v>
      </c>
      <c r="G6" s="367">
        <f t="shared" si="0"/>
        <v>0.43318591744710372</v>
      </c>
      <c r="H6" s="367"/>
      <c r="I6" s="367"/>
    </row>
    <row r="7" spans="1:9" ht="16.5" x14ac:dyDescent="0.3">
      <c r="A7" s="343" t="s">
        <v>296</v>
      </c>
      <c r="B7" s="344"/>
      <c r="C7" s="131" t="s">
        <v>147</v>
      </c>
      <c r="D7" s="134">
        <v>10470</v>
      </c>
      <c r="E7" s="131" t="s">
        <v>147</v>
      </c>
      <c r="F7" s="134">
        <v>20618</v>
      </c>
      <c r="G7" s="367">
        <f t="shared" si="0"/>
        <v>0.96924546322827121</v>
      </c>
      <c r="H7" s="367"/>
      <c r="I7" s="367"/>
    </row>
    <row r="8" spans="1:9" ht="16.5" x14ac:dyDescent="0.3">
      <c r="A8" s="353"/>
      <c r="B8" s="354"/>
      <c r="C8" s="131" t="s">
        <v>148</v>
      </c>
      <c r="D8" s="134">
        <v>1130</v>
      </c>
      <c r="E8" s="131" t="s">
        <v>148</v>
      </c>
      <c r="F8" s="134">
        <v>1369</v>
      </c>
      <c r="G8" s="367">
        <f t="shared" si="0"/>
        <v>0.21150442477876105</v>
      </c>
      <c r="H8" s="367"/>
      <c r="I8" s="367"/>
    </row>
    <row r="9" spans="1:9" ht="16.5" x14ac:dyDescent="0.3">
      <c r="A9" s="353"/>
      <c r="B9" s="354"/>
      <c r="C9" s="131" t="s">
        <v>149</v>
      </c>
      <c r="D9" s="134">
        <v>10692</v>
      </c>
      <c r="E9" s="131" t="s">
        <v>149</v>
      </c>
      <c r="F9" s="134">
        <v>10928</v>
      </c>
      <c r="G9" s="367">
        <f t="shared" si="0"/>
        <v>2.2072577628133184E-2</v>
      </c>
      <c r="H9" s="367"/>
      <c r="I9" s="367"/>
    </row>
    <row r="10" spans="1:9" ht="16.5" x14ac:dyDescent="0.3">
      <c r="A10" s="355"/>
      <c r="B10" s="356"/>
      <c r="C10" s="131" t="s">
        <v>187</v>
      </c>
      <c r="D10" s="168">
        <f>SUM(D7+D8+D9)</f>
        <v>22292</v>
      </c>
      <c r="E10" s="131" t="s">
        <v>187</v>
      </c>
      <c r="F10" s="168">
        <f>SUM(F7+F8+F9)</f>
        <v>32915</v>
      </c>
      <c r="G10" s="367">
        <f t="shared" si="0"/>
        <v>0.47653866858065674</v>
      </c>
      <c r="H10" s="367"/>
      <c r="I10" s="367"/>
    </row>
    <row r="11" spans="1:9" ht="16.5" x14ac:dyDescent="0.3">
      <c r="A11" s="467" t="s">
        <v>297</v>
      </c>
      <c r="B11" s="467"/>
      <c r="C11" s="131" t="s">
        <v>147</v>
      </c>
      <c r="D11" s="134">
        <v>11218</v>
      </c>
      <c r="E11" s="131" t="s">
        <v>147</v>
      </c>
      <c r="F11" s="134">
        <v>21366</v>
      </c>
      <c r="G11" s="367">
        <f t="shared" si="0"/>
        <v>0.90461757889106797</v>
      </c>
      <c r="H11" s="367"/>
      <c r="I11" s="367"/>
    </row>
    <row r="12" spans="1:9" ht="16.5" x14ac:dyDescent="0.3">
      <c r="A12" s="467"/>
      <c r="B12" s="467"/>
      <c r="C12" s="131" t="s">
        <v>148</v>
      </c>
      <c r="D12" s="134">
        <v>1186</v>
      </c>
      <c r="E12" s="131" t="s">
        <v>148</v>
      </c>
      <c r="F12" s="232">
        <v>1425</v>
      </c>
      <c r="G12" s="367">
        <f t="shared" si="0"/>
        <v>0.20151770657672849</v>
      </c>
      <c r="H12" s="367"/>
      <c r="I12" s="367"/>
    </row>
    <row r="13" spans="1:9" ht="16.5" x14ac:dyDescent="0.3">
      <c r="A13" s="467"/>
      <c r="B13" s="467"/>
      <c r="C13" s="131" t="s">
        <v>149</v>
      </c>
      <c r="D13" s="134">
        <v>10716</v>
      </c>
      <c r="E13" s="131" t="s">
        <v>149</v>
      </c>
      <c r="F13" s="134">
        <v>10952</v>
      </c>
      <c r="G13" s="367">
        <f t="shared" si="0"/>
        <v>2.2023142963792462E-2</v>
      </c>
      <c r="H13" s="367"/>
      <c r="I13" s="367"/>
    </row>
    <row r="14" spans="1:9" ht="16.5" x14ac:dyDescent="0.3">
      <c r="A14" s="467"/>
      <c r="B14" s="467"/>
      <c r="C14" s="131" t="s">
        <v>187</v>
      </c>
      <c r="D14" s="168">
        <f>SUM(D11+D12+D13)</f>
        <v>23120</v>
      </c>
      <c r="E14" s="131" t="s">
        <v>187</v>
      </c>
      <c r="F14" s="168">
        <f>SUM(F11+F12+F13)</f>
        <v>33743</v>
      </c>
      <c r="G14" s="367">
        <f t="shared" si="0"/>
        <v>0.45947231833910035</v>
      </c>
      <c r="H14" s="367"/>
      <c r="I14" s="367"/>
    </row>
    <row r="16" spans="1:9" ht="18.75" x14ac:dyDescent="0.3">
      <c r="C16" s="366" t="s">
        <v>290</v>
      </c>
      <c r="D16" s="366"/>
      <c r="E16" s="366"/>
      <c r="F16" s="366"/>
    </row>
    <row r="17" spans="1:9" ht="18.75" x14ac:dyDescent="0.3">
      <c r="C17" s="366" t="s">
        <v>281</v>
      </c>
      <c r="D17" s="366"/>
      <c r="E17" s="366" t="s">
        <v>282</v>
      </c>
      <c r="F17" s="366"/>
    </row>
    <row r="18" spans="1:9" ht="15" customHeight="1" x14ac:dyDescent="0.25">
      <c r="A18" s="347" t="s">
        <v>295</v>
      </c>
      <c r="B18" s="348"/>
      <c r="C18" s="131" t="s">
        <v>291</v>
      </c>
      <c r="D18" s="131">
        <v>1024</v>
      </c>
      <c r="E18" s="131" t="s">
        <v>291</v>
      </c>
      <c r="F18" s="136">
        <v>1024</v>
      </c>
    </row>
    <row r="19" spans="1:9" ht="15" customHeight="1" x14ac:dyDescent="0.25">
      <c r="A19" s="349"/>
      <c r="B19" s="350"/>
      <c r="C19" s="131" t="s">
        <v>292</v>
      </c>
      <c r="D19" s="131">
        <v>2048</v>
      </c>
      <c r="E19" s="131" t="s">
        <v>292</v>
      </c>
      <c r="F19" s="131">
        <v>512</v>
      </c>
    </row>
    <row r="20" spans="1:9" ht="15" customHeight="1" x14ac:dyDescent="0.25">
      <c r="A20" s="343" t="s">
        <v>296</v>
      </c>
      <c r="B20" s="344"/>
      <c r="C20" s="131" t="s">
        <v>291</v>
      </c>
      <c r="D20" s="131">
        <v>1024</v>
      </c>
      <c r="E20" s="131" t="s">
        <v>291</v>
      </c>
      <c r="F20" s="136">
        <v>1024</v>
      </c>
    </row>
    <row r="21" spans="1:9" ht="15" customHeight="1" x14ac:dyDescent="0.25">
      <c r="A21" s="353"/>
      <c r="B21" s="354"/>
      <c r="C21" s="131" t="s">
        <v>292</v>
      </c>
      <c r="D21" s="131">
        <v>2048</v>
      </c>
      <c r="E21" s="131" t="s">
        <v>292</v>
      </c>
      <c r="F21" s="131">
        <v>512</v>
      </c>
    </row>
    <row r="22" spans="1:9" ht="15" customHeight="1" x14ac:dyDescent="0.25">
      <c r="A22" s="457" t="s">
        <v>297</v>
      </c>
      <c r="B22" s="458"/>
      <c r="C22" s="131" t="s">
        <v>291</v>
      </c>
      <c r="D22" s="131">
        <v>1024</v>
      </c>
      <c r="E22" s="131" t="s">
        <v>291</v>
      </c>
      <c r="F22" s="136">
        <v>1024</v>
      </c>
    </row>
    <row r="23" spans="1:9" ht="15" customHeight="1" x14ac:dyDescent="0.25">
      <c r="A23" s="489"/>
      <c r="B23" s="490"/>
      <c r="C23" s="131" t="s">
        <v>292</v>
      </c>
      <c r="D23" s="131">
        <v>2048</v>
      </c>
      <c r="E23" s="131" t="s">
        <v>292</v>
      </c>
      <c r="F23" s="131">
        <v>512</v>
      </c>
    </row>
    <row r="24" spans="1:9" ht="15" customHeight="1" x14ac:dyDescent="0.25"/>
    <row r="25" spans="1:9" ht="15" customHeight="1" x14ac:dyDescent="0.3">
      <c r="A25" s="360" t="s">
        <v>294</v>
      </c>
      <c r="B25" s="360"/>
      <c r="C25" s="361" t="s">
        <v>293</v>
      </c>
      <c r="D25" s="362"/>
      <c r="E25" s="362"/>
      <c r="F25" s="363"/>
      <c r="G25" s="360" t="s">
        <v>140</v>
      </c>
      <c r="H25" s="360"/>
      <c r="I25" s="360"/>
    </row>
    <row r="26" spans="1:9" ht="15" customHeight="1" x14ac:dyDescent="0.3">
      <c r="A26" s="360"/>
      <c r="B26" s="360"/>
      <c r="C26" s="366" t="s">
        <v>281</v>
      </c>
      <c r="D26" s="366"/>
      <c r="E26" s="366" t="s">
        <v>282</v>
      </c>
      <c r="F26" s="366"/>
      <c r="G26" s="360"/>
      <c r="H26" s="360"/>
      <c r="I26" s="360"/>
    </row>
    <row r="27" spans="1:9" ht="15" customHeight="1" x14ac:dyDescent="0.3">
      <c r="A27" s="347" t="s">
        <v>295</v>
      </c>
      <c r="B27" s="348"/>
      <c r="C27" s="131" t="s">
        <v>147</v>
      </c>
      <c r="D27" s="134">
        <v>11070</v>
      </c>
      <c r="E27" s="131" t="s">
        <v>147</v>
      </c>
      <c r="F27" s="134">
        <v>20666</v>
      </c>
      <c r="G27" s="367">
        <f t="shared" ref="G27:G38" si="1">((F27-D27)/D27)</f>
        <v>0.8668473351400181</v>
      </c>
      <c r="H27" s="367"/>
      <c r="I27" s="367"/>
    </row>
    <row r="28" spans="1:9" ht="16.5" x14ac:dyDescent="0.3">
      <c r="A28" s="349"/>
      <c r="B28" s="350"/>
      <c r="C28" s="131" t="s">
        <v>148</v>
      </c>
      <c r="D28" s="135">
        <v>242</v>
      </c>
      <c r="E28" s="131" t="s">
        <v>148</v>
      </c>
      <c r="F28" s="135">
        <v>405</v>
      </c>
      <c r="G28" s="367">
        <f t="shared" si="1"/>
        <v>0.67355371900826444</v>
      </c>
      <c r="H28" s="367"/>
      <c r="I28" s="367"/>
    </row>
    <row r="29" spans="1:9" ht="16.5" x14ac:dyDescent="0.3">
      <c r="A29" s="349"/>
      <c r="B29" s="350"/>
      <c r="C29" s="131" t="s">
        <v>149</v>
      </c>
      <c r="D29" s="134">
        <f>D5+D19</f>
        <v>13752</v>
      </c>
      <c r="E29" s="131" t="s">
        <v>149</v>
      </c>
      <c r="F29" s="134">
        <f>F5+F19</f>
        <v>12448</v>
      </c>
      <c r="G29" s="367">
        <f t="shared" si="1"/>
        <v>-9.4822571262361835E-2</v>
      </c>
      <c r="H29" s="367"/>
      <c r="I29" s="367"/>
    </row>
    <row r="30" spans="1:9" ht="16.5" x14ac:dyDescent="0.3">
      <c r="A30" s="351"/>
      <c r="B30" s="352"/>
      <c r="C30" s="131" t="s">
        <v>187</v>
      </c>
      <c r="D30" s="168">
        <f>SUM(D27+D28+D29)</f>
        <v>25064</v>
      </c>
      <c r="E30" s="131" t="s">
        <v>187</v>
      </c>
      <c r="F30" s="168">
        <f>SUM(F27+F28+F29)</f>
        <v>33519</v>
      </c>
      <c r="G30" s="367">
        <f t="shared" si="1"/>
        <v>0.33733641876795406</v>
      </c>
      <c r="H30" s="367"/>
      <c r="I30" s="367"/>
    </row>
    <row r="31" spans="1:9" ht="16.5" x14ac:dyDescent="0.3">
      <c r="A31" s="343" t="s">
        <v>296</v>
      </c>
      <c r="B31" s="344"/>
      <c r="C31" s="131" t="s">
        <v>147</v>
      </c>
      <c r="D31" s="134">
        <v>10418</v>
      </c>
      <c r="E31" s="131" t="s">
        <v>147</v>
      </c>
      <c r="F31" s="134">
        <v>20566</v>
      </c>
      <c r="G31" s="367">
        <f>((F31-D31)/D31)</f>
        <v>0.97408331733538112</v>
      </c>
      <c r="H31" s="367"/>
      <c r="I31" s="367"/>
    </row>
    <row r="32" spans="1:9" ht="16.5" x14ac:dyDescent="0.3">
      <c r="A32" s="353"/>
      <c r="B32" s="354"/>
      <c r="C32" s="131" t="s">
        <v>148</v>
      </c>
      <c r="D32" s="135">
        <v>1130</v>
      </c>
      <c r="E32" s="131" t="s">
        <v>148</v>
      </c>
      <c r="F32" s="135">
        <v>1369</v>
      </c>
      <c r="G32" s="367">
        <f t="shared" si="1"/>
        <v>0.21150442477876105</v>
      </c>
      <c r="H32" s="367"/>
      <c r="I32" s="367"/>
    </row>
    <row r="33" spans="1:9" ht="16.5" x14ac:dyDescent="0.3">
      <c r="A33" s="353"/>
      <c r="B33" s="354"/>
      <c r="C33" s="131" t="s">
        <v>149</v>
      </c>
      <c r="D33" s="134">
        <f>D9+D21</f>
        <v>12740</v>
      </c>
      <c r="E33" s="131" t="s">
        <v>149</v>
      </c>
      <c r="F33" s="134">
        <f>F9+F21</f>
        <v>11440</v>
      </c>
      <c r="G33" s="367">
        <f t="shared" si="1"/>
        <v>-0.10204081632653061</v>
      </c>
      <c r="H33" s="367"/>
      <c r="I33" s="367"/>
    </row>
    <row r="34" spans="1:9" ht="16.5" x14ac:dyDescent="0.3">
      <c r="A34" s="355"/>
      <c r="B34" s="356"/>
      <c r="C34" s="131" t="s">
        <v>187</v>
      </c>
      <c r="D34" s="168">
        <f>SUM(D31+D32+D33)</f>
        <v>24288</v>
      </c>
      <c r="E34" s="131" t="s">
        <v>187</v>
      </c>
      <c r="F34" s="168">
        <f>SUM(F31+F32+F33)</f>
        <v>33375</v>
      </c>
      <c r="G34" s="367">
        <f t="shared" si="1"/>
        <v>0.37413537549407117</v>
      </c>
      <c r="H34" s="367"/>
      <c r="I34" s="367"/>
    </row>
    <row r="35" spans="1:9" ht="16.5" x14ac:dyDescent="0.3">
      <c r="A35" s="467" t="s">
        <v>297</v>
      </c>
      <c r="B35" s="467"/>
      <c r="C35" s="131" t="s">
        <v>147</v>
      </c>
      <c r="D35" s="134">
        <v>11146</v>
      </c>
      <c r="E35" s="131" t="s">
        <v>147</v>
      </c>
      <c r="F35" s="134">
        <v>21294</v>
      </c>
      <c r="G35" s="367">
        <f t="shared" si="1"/>
        <v>0.91046115198277411</v>
      </c>
      <c r="H35" s="367"/>
      <c r="I35" s="367"/>
    </row>
    <row r="36" spans="1:9" ht="16.5" x14ac:dyDescent="0.3">
      <c r="A36" s="467"/>
      <c r="B36" s="467"/>
      <c r="C36" s="131" t="s">
        <v>148</v>
      </c>
      <c r="D36" s="134">
        <v>1186</v>
      </c>
      <c r="E36" s="131" t="s">
        <v>148</v>
      </c>
      <c r="F36" s="232">
        <v>1425</v>
      </c>
      <c r="G36" s="367">
        <f t="shared" si="1"/>
        <v>0.20151770657672849</v>
      </c>
      <c r="H36" s="367"/>
      <c r="I36" s="367"/>
    </row>
    <row r="37" spans="1:9" ht="16.5" x14ac:dyDescent="0.3">
      <c r="A37" s="467"/>
      <c r="B37" s="467"/>
      <c r="C37" s="131" t="s">
        <v>149</v>
      </c>
      <c r="D37" s="134">
        <f>D13+D23</f>
        <v>12764</v>
      </c>
      <c r="E37" s="131" t="s">
        <v>149</v>
      </c>
      <c r="F37" s="134">
        <f>F13+F23</f>
        <v>11464</v>
      </c>
      <c r="G37" s="367">
        <f t="shared" si="1"/>
        <v>-0.10184895017235976</v>
      </c>
      <c r="H37" s="367"/>
      <c r="I37" s="367"/>
    </row>
    <row r="38" spans="1:9" ht="16.5" x14ac:dyDescent="0.3">
      <c r="A38" s="467"/>
      <c r="B38" s="467"/>
      <c r="C38" s="131" t="s">
        <v>187</v>
      </c>
      <c r="D38" s="168">
        <f>SUM(D35+D36+D37)</f>
        <v>25096</v>
      </c>
      <c r="E38" s="131" t="s">
        <v>187</v>
      </c>
      <c r="F38" s="168">
        <f>SUM(F35+F36+F37)</f>
        <v>34183</v>
      </c>
      <c r="G38" s="367">
        <f t="shared" si="1"/>
        <v>0.36208957602805231</v>
      </c>
      <c r="H38" s="367"/>
      <c r="I38" s="367"/>
    </row>
    <row r="40" spans="1:9" ht="18.75" x14ac:dyDescent="0.3">
      <c r="A40" s="360" t="s">
        <v>294</v>
      </c>
      <c r="B40" s="360"/>
      <c r="C40" s="361" t="s">
        <v>298</v>
      </c>
      <c r="D40" s="362"/>
      <c r="E40" s="362"/>
      <c r="F40" s="363"/>
      <c r="G40" s="360" t="s">
        <v>302</v>
      </c>
      <c r="H40" s="360"/>
      <c r="I40" s="360"/>
    </row>
    <row r="41" spans="1:9" ht="18.75" x14ac:dyDescent="0.3">
      <c r="A41" s="360"/>
      <c r="B41" s="360"/>
      <c r="C41" s="366" t="s">
        <v>281</v>
      </c>
      <c r="D41" s="366"/>
      <c r="E41" s="366" t="s">
        <v>282</v>
      </c>
      <c r="F41" s="366"/>
      <c r="G41" s="360"/>
      <c r="H41" s="360"/>
      <c r="I41" s="360"/>
    </row>
    <row r="42" spans="1:9" x14ac:dyDescent="0.25">
      <c r="A42" s="347" t="s">
        <v>301</v>
      </c>
      <c r="B42" s="348"/>
      <c r="C42" s="516">
        <v>1438654</v>
      </c>
      <c r="D42" s="515"/>
      <c r="E42" s="516">
        <v>1438302</v>
      </c>
      <c r="F42" s="515"/>
      <c r="G42" s="514">
        <f>(E42-C42)/C42</f>
        <v>-2.4467314587107113E-4</v>
      </c>
      <c r="H42" s="514"/>
      <c r="I42" s="514"/>
    </row>
    <row r="43" spans="1:9" x14ac:dyDescent="0.25">
      <c r="A43" s="349"/>
      <c r="B43" s="350"/>
      <c r="C43" s="515"/>
      <c r="D43" s="515"/>
      <c r="E43" s="515"/>
      <c r="F43" s="515"/>
      <c r="G43" s="514"/>
      <c r="H43" s="514"/>
      <c r="I43" s="514"/>
    </row>
    <row r="44" spans="1:9" x14ac:dyDescent="0.25">
      <c r="A44" s="343" t="s">
        <v>299</v>
      </c>
      <c r="B44" s="344"/>
      <c r="C44" s="516">
        <v>7203997</v>
      </c>
      <c r="D44" s="515"/>
      <c r="E44" s="516">
        <v>7319997</v>
      </c>
      <c r="F44" s="515"/>
      <c r="G44" s="514">
        <f>(E44-C44)/C44</f>
        <v>1.6102172169144436E-2</v>
      </c>
      <c r="H44" s="514"/>
      <c r="I44" s="514"/>
    </row>
    <row r="45" spans="1:9" x14ac:dyDescent="0.25">
      <c r="A45" s="353"/>
      <c r="B45" s="354"/>
      <c r="C45" s="515"/>
      <c r="D45" s="515"/>
      <c r="E45" s="515"/>
      <c r="F45" s="515"/>
      <c r="G45" s="514"/>
      <c r="H45" s="514"/>
      <c r="I45" s="514"/>
    </row>
    <row r="46" spans="1:9" x14ac:dyDescent="0.25">
      <c r="A46" s="457" t="s">
        <v>300</v>
      </c>
      <c r="B46" s="458"/>
      <c r="C46" s="516">
        <v>1710865</v>
      </c>
      <c r="D46" s="515"/>
      <c r="E46" s="516">
        <v>1767692</v>
      </c>
      <c r="F46" s="515"/>
      <c r="G46" s="514">
        <f>(E46-C46)/C46</f>
        <v>3.321536181989812E-2</v>
      </c>
      <c r="H46" s="514"/>
      <c r="I46" s="514"/>
    </row>
    <row r="47" spans="1:9" x14ac:dyDescent="0.25">
      <c r="A47" s="489"/>
      <c r="B47" s="490"/>
      <c r="C47" s="515"/>
      <c r="D47" s="515"/>
      <c r="E47" s="515"/>
      <c r="F47" s="515"/>
      <c r="G47" s="514"/>
      <c r="H47" s="514"/>
      <c r="I47" s="514"/>
    </row>
  </sheetData>
  <mergeCells count="63">
    <mergeCell ref="A46:B47"/>
    <mergeCell ref="C46:D47"/>
    <mergeCell ref="E46:F47"/>
    <mergeCell ref="G46:I47"/>
    <mergeCell ref="G40:I41"/>
    <mergeCell ref="C41:D41"/>
    <mergeCell ref="E41:F41"/>
    <mergeCell ref="A44:B45"/>
    <mergeCell ref="C44:D45"/>
    <mergeCell ref="E44:F45"/>
    <mergeCell ref="G44:I45"/>
    <mergeCell ref="A42:B43"/>
    <mergeCell ref="C42:D43"/>
    <mergeCell ref="E42:F43"/>
    <mergeCell ref="G42:I43"/>
    <mergeCell ref="A40:B41"/>
    <mergeCell ref="A31:B34"/>
    <mergeCell ref="G31:I31"/>
    <mergeCell ref="G32:I32"/>
    <mergeCell ref="G33:I33"/>
    <mergeCell ref="G34:I34"/>
    <mergeCell ref="C40:F40"/>
    <mergeCell ref="A25:B26"/>
    <mergeCell ref="C25:F25"/>
    <mergeCell ref="G25:I26"/>
    <mergeCell ref="C26:D26"/>
    <mergeCell ref="E26:F26"/>
    <mergeCell ref="A27:B30"/>
    <mergeCell ref="G27:I27"/>
    <mergeCell ref="G28:I28"/>
    <mergeCell ref="G29:I29"/>
    <mergeCell ref="G30:I30"/>
    <mergeCell ref="A35:B38"/>
    <mergeCell ref="G35:I35"/>
    <mergeCell ref="G36:I36"/>
    <mergeCell ref="G37:I37"/>
    <mergeCell ref="G38:I38"/>
    <mergeCell ref="A22:B23"/>
    <mergeCell ref="A7:B10"/>
    <mergeCell ref="G7:I7"/>
    <mergeCell ref="G8:I8"/>
    <mergeCell ref="G9:I9"/>
    <mergeCell ref="G10:I10"/>
    <mergeCell ref="A11:B14"/>
    <mergeCell ref="G11:I11"/>
    <mergeCell ref="G12:I12"/>
    <mergeCell ref="G13:I13"/>
    <mergeCell ref="G14:I14"/>
    <mergeCell ref="C16:F16"/>
    <mergeCell ref="C17:D17"/>
    <mergeCell ref="E17:F17"/>
    <mergeCell ref="A18:B19"/>
    <mergeCell ref="A20:B21"/>
    <mergeCell ref="A1:B2"/>
    <mergeCell ref="C1:F1"/>
    <mergeCell ref="G1:I2"/>
    <mergeCell ref="C2:D2"/>
    <mergeCell ref="E2:F2"/>
    <mergeCell ref="A3:B6"/>
    <mergeCell ref="G3:I3"/>
    <mergeCell ref="G4:I4"/>
    <mergeCell ref="G5:I5"/>
    <mergeCell ref="G6:I6"/>
  </mergeCells>
  <conditionalFormatting sqref="G3:G14">
    <cfRule type="cellIs" dxfId="19" priority="5" operator="lessThan">
      <formula>0</formula>
    </cfRule>
    <cfRule type="cellIs" dxfId="18" priority="6" operator="greaterThan">
      <formula>0</formula>
    </cfRule>
  </conditionalFormatting>
  <conditionalFormatting sqref="G27:G38">
    <cfRule type="cellIs" dxfId="17" priority="3" operator="lessThan">
      <formula>0</formula>
    </cfRule>
    <cfRule type="cellIs" dxfId="16" priority="4" operator="greaterThan">
      <formula>0</formula>
    </cfRule>
  </conditionalFormatting>
  <conditionalFormatting sqref="G42:I47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3841-7A55-4C44-9E14-C5FBAFF093F0}">
  <dimension ref="B2:F32"/>
  <sheetViews>
    <sheetView topLeftCell="A6" workbookViewId="0">
      <selection activeCell="F29" sqref="F29"/>
    </sheetView>
  </sheetViews>
  <sheetFormatPr defaultRowHeight="15" x14ac:dyDescent="0.25"/>
  <cols>
    <col min="2" max="2" width="27" customWidth="1"/>
    <col min="3" max="3" width="19.7109375" customWidth="1"/>
    <col min="4" max="4" width="12.5703125" customWidth="1"/>
    <col min="5" max="5" width="13.28515625" customWidth="1"/>
    <col min="6" max="6" width="13.5703125" customWidth="1"/>
  </cols>
  <sheetData>
    <row r="2" spans="2:6" ht="15.75" thickBot="1" x14ac:dyDescent="0.3"/>
    <row r="3" spans="2:6" ht="27" thickTop="1" thickBot="1" x14ac:dyDescent="0.3">
      <c r="B3" s="297" t="s">
        <v>335</v>
      </c>
      <c r="C3" s="298" t="s">
        <v>143</v>
      </c>
      <c r="D3" s="298" t="s">
        <v>255</v>
      </c>
      <c r="E3" s="298" t="s">
        <v>336</v>
      </c>
      <c r="F3" s="298" t="s">
        <v>337</v>
      </c>
    </row>
    <row r="4" spans="2:6" ht="15.75" thickBot="1" x14ac:dyDescent="0.3">
      <c r="B4" s="518" t="s">
        <v>338</v>
      </c>
      <c r="C4" s="299" t="s">
        <v>339</v>
      </c>
      <c r="D4" s="300">
        <v>2189</v>
      </c>
      <c r="E4" s="300">
        <v>2260</v>
      </c>
      <c r="F4" s="301">
        <v>-0.03</v>
      </c>
    </row>
    <row r="5" spans="2:6" ht="15.75" thickBot="1" x14ac:dyDescent="0.3">
      <c r="B5" s="519"/>
      <c r="C5" s="302" t="s">
        <v>340</v>
      </c>
      <c r="D5" s="303">
        <v>4927</v>
      </c>
      <c r="E5" s="303">
        <v>1078</v>
      </c>
      <c r="F5" s="304">
        <v>3.57</v>
      </c>
    </row>
    <row r="6" spans="2:6" ht="15.75" thickBot="1" x14ac:dyDescent="0.3">
      <c r="B6" s="520"/>
      <c r="C6" s="299" t="s">
        <v>341</v>
      </c>
      <c r="D6" s="300">
        <v>4808</v>
      </c>
      <c r="E6" s="300">
        <v>4772</v>
      </c>
      <c r="F6" s="305">
        <v>7.0000000000000001E-3</v>
      </c>
    </row>
    <row r="7" spans="2:6" ht="15.75" thickBot="1" x14ac:dyDescent="0.3">
      <c r="B7" s="521" t="s">
        <v>342</v>
      </c>
      <c r="C7" s="302" t="s">
        <v>339</v>
      </c>
      <c r="D7" s="303">
        <v>3481</v>
      </c>
      <c r="E7" s="303">
        <v>3480</v>
      </c>
      <c r="F7" s="306">
        <v>0</v>
      </c>
    </row>
    <row r="8" spans="2:6" ht="15.75" thickBot="1" x14ac:dyDescent="0.3">
      <c r="B8" s="522"/>
      <c r="C8" s="299" t="s">
        <v>340</v>
      </c>
      <c r="D8" s="300">
        <v>4911</v>
      </c>
      <c r="E8" s="300">
        <v>152</v>
      </c>
      <c r="F8" s="307">
        <v>31.31</v>
      </c>
    </row>
    <row r="9" spans="2:6" ht="15.75" thickBot="1" x14ac:dyDescent="0.3">
      <c r="B9" s="523"/>
      <c r="C9" s="302" t="s">
        <v>341</v>
      </c>
      <c r="D9" s="303">
        <v>4688</v>
      </c>
      <c r="E9" s="303">
        <v>4662</v>
      </c>
      <c r="F9" s="308">
        <v>5.4999999999999997E-3</v>
      </c>
    </row>
    <row r="10" spans="2:6" ht="15.75" thickBot="1" x14ac:dyDescent="0.3">
      <c r="B10" s="518" t="s">
        <v>343</v>
      </c>
      <c r="C10" s="299" t="s">
        <v>339</v>
      </c>
      <c r="D10" s="300">
        <v>3809</v>
      </c>
      <c r="E10" s="300">
        <v>3808</v>
      </c>
      <c r="F10" s="301">
        <v>0</v>
      </c>
    </row>
    <row r="11" spans="2:6" ht="15.75" thickBot="1" x14ac:dyDescent="0.3">
      <c r="B11" s="519"/>
      <c r="C11" s="302" t="s">
        <v>340</v>
      </c>
      <c r="D11" s="303">
        <v>4911</v>
      </c>
      <c r="E11" s="303">
        <v>152</v>
      </c>
      <c r="F11" s="304">
        <v>31.3</v>
      </c>
    </row>
    <row r="12" spans="2:6" ht="15.75" thickBot="1" x14ac:dyDescent="0.3">
      <c r="B12" s="520"/>
      <c r="C12" s="299" t="s">
        <v>341</v>
      </c>
      <c r="D12" s="300">
        <v>5124</v>
      </c>
      <c r="E12" s="300">
        <v>5140</v>
      </c>
      <c r="F12" s="305">
        <v>-3.0000000000000001E-3</v>
      </c>
    </row>
    <row r="17" spans="2:6" ht="15.75" thickBot="1" x14ac:dyDescent="0.3">
      <c r="B17" s="319"/>
      <c r="C17" s="319"/>
      <c r="D17" s="320" t="s">
        <v>344</v>
      </c>
      <c r="E17" s="320" t="s">
        <v>348</v>
      </c>
      <c r="F17" s="320" t="s">
        <v>340</v>
      </c>
    </row>
    <row r="18" spans="2:6" ht="16.5" thickTop="1" thickBot="1" x14ac:dyDescent="0.3">
      <c r="B18" s="517" t="s">
        <v>309</v>
      </c>
      <c r="C18" s="321" t="s">
        <v>255</v>
      </c>
      <c r="D18" s="281">
        <v>4808</v>
      </c>
      <c r="E18" s="281">
        <v>4531</v>
      </c>
      <c r="F18" s="281">
        <v>2189</v>
      </c>
    </row>
    <row r="19" spans="2:6" ht="16.5" thickTop="1" thickBot="1" x14ac:dyDescent="0.3">
      <c r="B19" s="517"/>
      <c r="C19" s="321" t="s">
        <v>336</v>
      </c>
      <c r="D19" s="281">
        <v>4772</v>
      </c>
      <c r="E19" s="281">
        <v>4278</v>
      </c>
      <c r="F19" s="281">
        <v>1078</v>
      </c>
    </row>
    <row r="20" spans="2:6" ht="16.5" thickTop="1" thickBot="1" x14ac:dyDescent="0.3">
      <c r="B20" s="517" t="s">
        <v>349</v>
      </c>
      <c r="C20" s="321" t="s">
        <v>255</v>
      </c>
      <c r="D20" s="281">
        <v>4688</v>
      </c>
      <c r="E20" s="281">
        <v>5823</v>
      </c>
      <c r="F20" s="281">
        <v>4911</v>
      </c>
    </row>
    <row r="21" spans="2:6" ht="16.5" thickTop="1" thickBot="1" x14ac:dyDescent="0.3">
      <c r="B21" s="517"/>
      <c r="C21" s="321" t="s">
        <v>336</v>
      </c>
      <c r="D21" s="281">
        <v>4662</v>
      </c>
      <c r="E21" s="281">
        <v>5484</v>
      </c>
      <c r="F21" s="281">
        <v>1078</v>
      </c>
    </row>
    <row r="22" spans="2:6" ht="16.5" thickTop="1" thickBot="1" x14ac:dyDescent="0.3">
      <c r="B22" s="517" t="s">
        <v>350</v>
      </c>
      <c r="C22" s="321" t="s">
        <v>255</v>
      </c>
      <c r="D22" s="281">
        <v>5124</v>
      </c>
      <c r="E22" s="281">
        <v>6191</v>
      </c>
      <c r="F22" s="281">
        <v>4911</v>
      </c>
    </row>
    <row r="23" spans="2:6" ht="16.5" thickTop="1" thickBot="1" x14ac:dyDescent="0.3">
      <c r="B23" s="517"/>
      <c r="C23" s="321" t="s">
        <v>336</v>
      </c>
      <c r="D23" s="281">
        <v>5140</v>
      </c>
      <c r="E23" s="281">
        <v>5810</v>
      </c>
      <c r="F23" s="281">
        <v>1078</v>
      </c>
    </row>
    <row r="24" spans="2:6" ht="15.75" thickTop="1" x14ac:dyDescent="0.25"/>
    <row r="27" spans="2:6" ht="15.75" thickBot="1" x14ac:dyDescent="0.3"/>
    <row r="28" spans="2:6" ht="16.5" thickTop="1" thickBot="1" x14ac:dyDescent="0.3">
      <c r="B28" s="328" t="s">
        <v>335</v>
      </c>
      <c r="C28" s="329" t="s">
        <v>255</v>
      </c>
      <c r="D28" s="329" t="s">
        <v>336</v>
      </c>
    </row>
    <row r="29" spans="2:6" ht="16.5" thickTop="1" thickBot="1" x14ac:dyDescent="0.3">
      <c r="B29" s="330" t="s">
        <v>360</v>
      </c>
      <c r="C29" s="331">
        <v>47943</v>
      </c>
      <c r="D29" s="331">
        <v>47955</v>
      </c>
    </row>
    <row r="30" spans="2:6" ht="23.25" thickBot="1" x14ac:dyDescent="0.3">
      <c r="B30" s="332" t="s">
        <v>361</v>
      </c>
      <c r="C30" s="333">
        <v>1220066</v>
      </c>
      <c r="D30" s="333">
        <v>1200666</v>
      </c>
    </row>
    <row r="31" spans="2:6" ht="23.25" thickBot="1" x14ac:dyDescent="0.3">
      <c r="B31" s="334" t="s">
        <v>362</v>
      </c>
      <c r="C31" s="331">
        <v>294615</v>
      </c>
      <c r="D31" s="331">
        <v>285144</v>
      </c>
    </row>
    <row r="32" spans="2:6" ht="15.75" thickTop="1" x14ac:dyDescent="0.25"/>
  </sheetData>
  <mergeCells count="6">
    <mergeCell ref="B18:B19"/>
    <mergeCell ref="B20:B21"/>
    <mergeCell ref="B22:B23"/>
    <mergeCell ref="B4:B6"/>
    <mergeCell ref="B7:B9"/>
    <mergeCell ref="B10:B12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BD70-0EA3-4BB4-A98D-A46EFA35BA33}">
  <dimension ref="A1:I45"/>
  <sheetViews>
    <sheetView workbookViewId="0">
      <selection sqref="A1:I14"/>
    </sheetView>
  </sheetViews>
  <sheetFormatPr defaultRowHeight="15" x14ac:dyDescent="0.25"/>
  <cols>
    <col min="2" max="2" width="41.5703125" customWidth="1"/>
    <col min="3" max="3" width="15.28515625" customWidth="1"/>
    <col min="4" max="4" width="15.140625" customWidth="1"/>
    <col min="5" max="5" width="16.28515625" customWidth="1"/>
    <col min="6" max="6" width="15.28515625" customWidth="1"/>
  </cols>
  <sheetData>
    <row r="1" spans="1:9" ht="18.75" x14ac:dyDescent="0.3">
      <c r="A1" s="360" t="s">
        <v>294</v>
      </c>
      <c r="B1" s="360"/>
      <c r="C1" s="361" t="s">
        <v>283</v>
      </c>
      <c r="D1" s="362"/>
      <c r="E1" s="362"/>
      <c r="F1" s="363"/>
      <c r="G1" s="360" t="s">
        <v>140</v>
      </c>
      <c r="H1" s="360"/>
      <c r="I1" s="360"/>
    </row>
    <row r="2" spans="1:9" ht="18.75" x14ac:dyDescent="0.3">
      <c r="A2" s="360"/>
      <c r="B2" s="360"/>
      <c r="C2" s="366" t="s">
        <v>281</v>
      </c>
      <c r="D2" s="366"/>
      <c r="E2" s="366" t="s">
        <v>282</v>
      </c>
      <c r="F2" s="366"/>
      <c r="G2" s="360"/>
      <c r="H2" s="360"/>
      <c r="I2" s="360"/>
    </row>
    <row r="3" spans="1:9" ht="16.5" x14ac:dyDescent="0.3">
      <c r="A3" s="347" t="s">
        <v>295</v>
      </c>
      <c r="B3" s="348"/>
      <c r="C3" s="131" t="s">
        <v>147</v>
      </c>
      <c r="D3" s="134">
        <v>9886</v>
      </c>
      <c r="E3" s="131" t="s">
        <v>147</v>
      </c>
      <c r="F3" s="134">
        <v>13946</v>
      </c>
      <c r="G3" s="367">
        <f t="shared" ref="G3:G14" si="0">((F3-D3)/D3)</f>
        <v>0.41068177220311552</v>
      </c>
      <c r="H3" s="367"/>
      <c r="I3" s="367"/>
    </row>
    <row r="4" spans="1:9" ht="16.5" x14ac:dyDescent="0.3">
      <c r="A4" s="349"/>
      <c r="B4" s="350"/>
      <c r="C4" s="131" t="s">
        <v>148</v>
      </c>
      <c r="D4" s="135">
        <v>242</v>
      </c>
      <c r="E4" s="131" t="s">
        <v>148</v>
      </c>
      <c r="F4" s="135">
        <v>320</v>
      </c>
      <c r="G4" s="367">
        <f t="shared" si="0"/>
        <v>0.32231404958677684</v>
      </c>
      <c r="H4" s="367"/>
      <c r="I4" s="367"/>
    </row>
    <row r="5" spans="1:9" ht="16.5" x14ac:dyDescent="0.3">
      <c r="A5" s="349"/>
      <c r="B5" s="350"/>
      <c r="C5" s="131" t="s">
        <v>149</v>
      </c>
      <c r="D5" s="134">
        <v>11716</v>
      </c>
      <c r="E5" s="131" t="s">
        <v>149</v>
      </c>
      <c r="F5" s="134">
        <v>11960</v>
      </c>
      <c r="G5" s="367">
        <f t="shared" si="0"/>
        <v>2.0826220553089792E-2</v>
      </c>
      <c r="H5" s="367"/>
      <c r="I5" s="367"/>
    </row>
    <row r="6" spans="1:9" ht="16.5" x14ac:dyDescent="0.3">
      <c r="A6" s="351"/>
      <c r="B6" s="352"/>
      <c r="C6" s="131" t="s">
        <v>187</v>
      </c>
      <c r="D6" s="168">
        <f>SUM(D3+D4+D5)</f>
        <v>21844</v>
      </c>
      <c r="E6" s="131" t="s">
        <v>187</v>
      </c>
      <c r="F6" s="168">
        <f>SUM(F3+F4+F5)</f>
        <v>26226</v>
      </c>
      <c r="G6" s="367">
        <f t="shared" si="0"/>
        <v>0.20060428492950008</v>
      </c>
      <c r="H6" s="367"/>
      <c r="I6" s="367"/>
    </row>
    <row r="7" spans="1:9" ht="16.5" x14ac:dyDescent="0.3">
      <c r="A7" s="343" t="s">
        <v>296</v>
      </c>
      <c r="B7" s="344"/>
      <c r="C7" s="131" t="s">
        <v>147</v>
      </c>
      <c r="D7" s="134">
        <v>9170</v>
      </c>
      <c r="E7" s="131" t="s">
        <v>147</v>
      </c>
      <c r="F7" s="134">
        <v>14138</v>
      </c>
      <c r="G7" s="367">
        <f t="shared" si="0"/>
        <v>0.54176663031624861</v>
      </c>
      <c r="H7" s="367"/>
      <c r="I7" s="367"/>
    </row>
    <row r="8" spans="1:9" ht="16.5" x14ac:dyDescent="0.3">
      <c r="A8" s="353"/>
      <c r="B8" s="354"/>
      <c r="C8" s="131" t="s">
        <v>148</v>
      </c>
      <c r="D8" s="134">
        <v>1130</v>
      </c>
      <c r="E8" s="131" t="s">
        <v>148</v>
      </c>
      <c r="F8" s="134">
        <v>1284</v>
      </c>
      <c r="G8" s="367">
        <f t="shared" si="0"/>
        <v>0.13628318584070798</v>
      </c>
      <c r="H8" s="367"/>
      <c r="I8" s="367"/>
    </row>
    <row r="9" spans="1:9" ht="16.5" x14ac:dyDescent="0.3">
      <c r="A9" s="353"/>
      <c r="B9" s="354"/>
      <c r="C9" s="131" t="s">
        <v>149</v>
      </c>
      <c r="D9" s="134">
        <v>10724</v>
      </c>
      <c r="E9" s="131" t="s">
        <v>149</v>
      </c>
      <c r="F9" s="134">
        <v>10972</v>
      </c>
      <c r="G9" s="367">
        <f t="shared" si="0"/>
        <v>2.3125699365908244E-2</v>
      </c>
      <c r="H9" s="367"/>
      <c r="I9" s="367"/>
    </row>
    <row r="10" spans="1:9" ht="16.5" x14ac:dyDescent="0.3">
      <c r="A10" s="355"/>
      <c r="B10" s="356"/>
      <c r="C10" s="131" t="s">
        <v>187</v>
      </c>
      <c r="D10" s="168">
        <f>SUM(D7+D8+D9)</f>
        <v>21024</v>
      </c>
      <c r="E10" s="131" t="s">
        <v>187</v>
      </c>
      <c r="F10" s="168">
        <f>SUM(F7+F8+F9)</f>
        <v>26394</v>
      </c>
      <c r="G10" s="367">
        <f t="shared" si="0"/>
        <v>0.25542237442922372</v>
      </c>
      <c r="H10" s="367"/>
      <c r="I10" s="367"/>
    </row>
    <row r="11" spans="1:9" ht="16.5" x14ac:dyDescent="0.3">
      <c r="A11" s="467" t="s">
        <v>297</v>
      </c>
      <c r="B11" s="467"/>
      <c r="C11" s="131" t="s">
        <v>147</v>
      </c>
      <c r="D11" s="134">
        <v>9918</v>
      </c>
      <c r="E11" s="131" t="s">
        <v>147</v>
      </c>
      <c r="F11" s="134">
        <v>14886</v>
      </c>
      <c r="G11" s="367">
        <f t="shared" si="0"/>
        <v>0.50090744101633389</v>
      </c>
      <c r="H11" s="367"/>
      <c r="I11" s="367"/>
    </row>
    <row r="12" spans="1:9" ht="16.5" x14ac:dyDescent="0.3">
      <c r="A12" s="467"/>
      <c r="B12" s="467"/>
      <c r="C12" s="131" t="s">
        <v>148</v>
      </c>
      <c r="D12" s="134">
        <v>1186</v>
      </c>
      <c r="E12" s="131" t="s">
        <v>148</v>
      </c>
      <c r="F12" s="232">
        <v>1340</v>
      </c>
      <c r="G12" s="367">
        <f t="shared" si="0"/>
        <v>0.12984822934232715</v>
      </c>
      <c r="H12" s="367"/>
      <c r="I12" s="367"/>
    </row>
    <row r="13" spans="1:9" ht="16.5" x14ac:dyDescent="0.3">
      <c r="A13" s="467"/>
      <c r="B13" s="467"/>
      <c r="C13" s="131" t="s">
        <v>149</v>
      </c>
      <c r="D13" s="134">
        <v>10748</v>
      </c>
      <c r="E13" s="131" t="s">
        <v>149</v>
      </c>
      <c r="F13" s="134">
        <v>10996</v>
      </c>
      <c r="G13" s="367">
        <f t="shared" si="0"/>
        <v>2.3074060290286566E-2</v>
      </c>
      <c r="H13" s="367"/>
      <c r="I13" s="367"/>
    </row>
    <row r="14" spans="1:9" ht="16.5" x14ac:dyDescent="0.3">
      <c r="A14" s="467"/>
      <c r="B14" s="467"/>
      <c r="C14" s="131" t="s">
        <v>187</v>
      </c>
      <c r="D14" s="168">
        <f>SUM(D11+D12+D13)</f>
        <v>21852</v>
      </c>
      <c r="E14" s="131" t="s">
        <v>187</v>
      </c>
      <c r="F14" s="168">
        <f>SUM(F11+F12+F13)</f>
        <v>27222</v>
      </c>
      <c r="G14" s="367">
        <f t="shared" si="0"/>
        <v>0.2457440966501922</v>
      </c>
      <c r="H14" s="367"/>
      <c r="I14" s="367"/>
    </row>
    <row r="16" spans="1:9" ht="18.75" x14ac:dyDescent="0.3">
      <c r="A16" s="360" t="s">
        <v>294</v>
      </c>
      <c r="B16" s="360"/>
      <c r="C16" s="361" t="s">
        <v>283</v>
      </c>
      <c r="D16" s="362"/>
      <c r="E16" s="362"/>
      <c r="F16" s="363"/>
      <c r="G16" s="360" t="s">
        <v>140</v>
      </c>
      <c r="H16" s="360"/>
      <c r="I16" s="360"/>
    </row>
    <row r="17" spans="1:9" ht="18.75" x14ac:dyDescent="0.3">
      <c r="A17" s="360"/>
      <c r="B17" s="360"/>
      <c r="C17" s="366" t="s">
        <v>281</v>
      </c>
      <c r="D17" s="366"/>
      <c r="E17" s="366" t="s">
        <v>282</v>
      </c>
      <c r="F17" s="366"/>
      <c r="G17" s="360"/>
      <c r="H17" s="360"/>
      <c r="I17" s="360"/>
    </row>
    <row r="18" spans="1:9" ht="16.5" customHeight="1" x14ac:dyDescent="0.3">
      <c r="A18" s="347" t="s">
        <v>295</v>
      </c>
      <c r="B18" s="348"/>
      <c r="C18" s="131" t="s">
        <v>181</v>
      </c>
      <c r="D18" s="134">
        <f>D3+D4</f>
        <v>10128</v>
      </c>
      <c r="E18" s="131" t="s">
        <v>147</v>
      </c>
      <c r="F18" s="134">
        <f>F3+F4</f>
        <v>14266</v>
      </c>
      <c r="G18" s="367">
        <f t="shared" ref="G18" si="1">(F18-D18)/D18</f>
        <v>0.40857030015797791</v>
      </c>
      <c r="H18" s="367"/>
      <c r="I18" s="367"/>
    </row>
    <row r="19" spans="1:9" ht="16.5" customHeight="1" x14ac:dyDescent="0.3">
      <c r="A19" s="349"/>
      <c r="B19" s="350"/>
      <c r="C19" s="131" t="s">
        <v>182</v>
      </c>
      <c r="D19" s="134">
        <v>11716</v>
      </c>
      <c r="E19" s="131" t="s">
        <v>149</v>
      </c>
      <c r="F19" s="134">
        <v>11960</v>
      </c>
      <c r="G19" s="367">
        <f t="shared" ref="G19:G26" si="2">(F19-D19)/D19</f>
        <v>2.0826220553089792E-2</v>
      </c>
      <c r="H19" s="367"/>
      <c r="I19" s="367"/>
    </row>
    <row r="20" spans="1:9" ht="16.5" customHeight="1" x14ac:dyDescent="0.3">
      <c r="A20" s="351"/>
      <c r="B20" s="352"/>
      <c r="C20" s="131" t="s">
        <v>187</v>
      </c>
      <c r="D20" s="168">
        <f>D18+D19</f>
        <v>21844</v>
      </c>
      <c r="E20" s="131" t="s">
        <v>187</v>
      </c>
      <c r="F20" s="168">
        <f>F18+F19</f>
        <v>26226</v>
      </c>
      <c r="G20" s="367">
        <f t="shared" si="2"/>
        <v>0.20060428492950008</v>
      </c>
      <c r="H20" s="367"/>
      <c r="I20" s="367"/>
    </row>
    <row r="21" spans="1:9" ht="16.5" customHeight="1" x14ac:dyDescent="0.3">
      <c r="A21" s="343" t="s">
        <v>296</v>
      </c>
      <c r="B21" s="344"/>
      <c r="C21" s="131" t="s">
        <v>181</v>
      </c>
      <c r="D21" s="134">
        <f>D6+D7</f>
        <v>31014</v>
      </c>
      <c r="E21" s="131" t="s">
        <v>148</v>
      </c>
      <c r="F21" s="134">
        <f>F6+F7</f>
        <v>40364</v>
      </c>
      <c r="G21" s="367">
        <f t="shared" si="2"/>
        <v>0.30147675243438449</v>
      </c>
      <c r="H21" s="367"/>
      <c r="I21" s="367"/>
    </row>
    <row r="22" spans="1:9" ht="16.5" customHeight="1" x14ac:dyDescent="0.3">
      <c r="A22" s="353"/>
      <c r="B22" s="354"/>
      <c r="C22" s="131" t="s">
        <v>182</v>
      </c>
      <c r="D22" s="134">
        <v>10724</v>
      </c>
      <c r="E22" s="131" t="s">
        <v>149</v>
      </c>
      <c r="F22" s="134">
        <v>10972</v>
      </c>
      <c r="G22" s="367">
        <f t="shared" si="2"/>
        <v>2.3125699365908244E-2</v>
      </c>
      <c r="H22" s="367"/>
      <c r="I22" s="367"/>
    </row>
    <row r="23" spans="1:9" ht="16.5" customHeight="1" x14ac:dyDescent="0.3">
      <c r="A23" s="355"/>
      <c r="B23" s="356"/>
      <c r="C23" s="131" t="s">
        <v>187</v>
      </c>
      <c r="D23" s="168">
        <f>D21+D22</f>
        <v>41738</v>
      </c>
      <c r="E23" s="131" t="s">
        <v>187</v>
      </c>
      <c r="F23" s="168">
        <f>F21+F22</f>
        <v>51336</v>
      </c>
      <c r="G23" s="367">
        <f t="shared" si="2"/>
        <v>0.22995831137093295</v>
      </c>
      <c r="H23" s="367"/>
      <c r="I23" s="367"/>
    </row>
    <row r="24" spans="1:9" ht="16.5" customHeight="1" x14ac:dyDescent="0.3">
      <c r="A24" s="457" t="s">
        <v>297</v>
      </c>
      <c r="B24" s="458"/>
      <c r="C24" s="131" t="s">
        <v>181</v>
      </c>
      <c r="D24" s="134">
        <f>D9+D10</f>
        <v>31748</v>
      </c>
      <c r="E24" s="131" t="s">
        <v>148</v>
      </c>
      <c r="F24" s="134">
        <f>F9+F10</f>
        <v>37366</v>
      </c>
      <c r="G24" s="367">
        <f t="shared" si="2"/>
        <v>0.17695602872621896</v>
      </c>
      <c r="H24" s="367"/>
      <c r="I24" s="367"/>
    </row>
    <row r="25" spans="1:9" ht="16.5" customHeight="1" x14ac:dyDescent="0.3">
      <c r="A25" s="459"/>
      <c r="B25" s="460"/>
      <c r="C25" s="131" t="s">
        <v>182</v>
      </c>
      <c r="D25" s="134">
        <v>10748</v>
      </c>
      <c r="E25" s="131" t="s">
        <v>149</v>
      </c>
      <c r="F25" s="134">
        <v>10996</v>
      </c>
      <c r="G25" s="367">
        <f t="shared" si="2"/>
        <v>2.3074060290286566E-2</v>
      </c>
      <c r="H25" s="367"/>
      <c r="I25" s="367"/>
    </row>
    <row r="26" spans="1:9" ht="16.5" customHeight="1" x14ac:dyDescent="0.3">
      <c r="A26" s="489"/>
      <c r="B26" s="490"/>
      <c r="C26" s="131" t="s">
        <v>187</v>
      </c>
      <c r="D26" s="168">
        <f>D24+D25</f>
        <v>42496</v>
      </c>
      <c r="E26" s="131" t="s">
        <v>187</v>
      </c>
      <c r="F26" s="168">
        <f>F24+F25</f>
        <v>48362</v>
      </c>
      <c r="G26" s="367">
        <f t="shared" si="2"/>
        <v>0.13803652108433734</v>
      </c>
      <c r="H26" s="367"/>
      <c r="I26" s="367"/>
    </row>
    <row r="27" spans="1:9" ht="16.5" customHeight="1" x14ac:dyDescent="0.25"/>
    <row r="28" spans="1:9" ht="15" customHeight="1" x14ac:dyDescent="0.3">
      <c r="A28" s="360" t="s">
        <v>294</v>
      </c>
      <c r="B28" s="360"/>
      <c r="C28" s="361" t="s">
        <v>298</v>
      </c>
      <c r="D28" s="362"/>
      <c r="E28" s="362"/>
      <c r="F28" s="363"/>
      <c r="G28" s="360" t="s">
        <v>302</v>
      </c>
      <c r="H28" s="360"/>
      <c r="I28" s="360"/>
    </row>
    <row r="29" spans="1:9" ht="15" customHeight="1" x14ac:dyDescent="0.3">
      <c r="A29" s="360"/>
      <c r="B29" s="360"/>
      <c r="C29" s="366" t="s">
        <v>281</v>
      </c>
      <c r="D29" s="366"/>
      <c r="E29" s="366" t="s">
        <v>282</v>
      </c>
      <c r="F29" s="366"/>
      <c r="G29" s="360"/>
      <c r="H29" s="360"/>
      <c r="I29" s="360"/>
    </row>
    <row r="30" spans="1:9" x14ac:dyDescent="0.25">
      <c r="A30" s="347" t="s">
        <v>295</v>
      </c>
      <c r="B30" s="348"/>
      <c r="C30" s="516">
        <v>47955</v>
      </c>
      <c r="D30" s="515"/>
      <c r="E30" s="516">
        <v>47943</v>
      </c>
      <c r="F30" s="515"/>
      <c r="G30" s="514">
        <f>(E30-C30)/C30</f>
        <v>-2.5023459493274944E-4</v>
      </c>
      <c r="H30" s="514"/>
      <c r="I30" s="514"/>
    </row>
    <row r="31" spans="1:9" x14ac:dyDescent="0.25">
      <c r="A31" s="349"/>
      <c r="B31" s="350"/>
      <c r="C31" s="515"/>
      <c r="D31" s="515"/>
      <c r="E31" s="515"/>
      <c r="F31" s="515"/>
      <c r="G31" s="514"/>
      <c r="H31" s="514"/>
      <c r="I31" s="514"/>
    </row>
    <row r="32" spans="1:9" x14ac:dyDescent="0.25">
      <c r="A32" s="343" t="s">
        <v>296</v>
      </c>
      <c r="B32" s="344"/>
      <c r="C32" s="516">
        <v>1200666</v>
      </c>
      <c r="D32" s="515"/>
      <c r="E32" s="516">
        <v>1220066</v>
      </c>
      <c r="F32" s="515"/>
      <c r="G32" s="514">
        <f>(E32-C32)/C32</f>
        <v>1.6157699143641947E-2</v>
      </c>
      <c r="H32" s="514"/>
      <c r="I32" s="514"/>
    </row>
    <row r="33" spans="1:9" x14ac:dyDescent="0.25">
      <c r="A33" s="353"/>
      <c r="B33" s="354"/>
      <c r="C33" s="515"/>
      <c r="D33" s="515"/>
      <c r="E33" s="515"/>
      <c r="F33" s="515"/>
      <c r="G33" s="514"/>
      <c r="H33" s="514"/>
      <c r="I33" s="514"/>
    </row>
    <row r="34" spans="1:9" x14ac:dyDescent="0.25">
      <c r="A34" s="457" t="s">
        <v>297</v>
      </c>
      <c r="B34" s="458"/>
      <c r="C34" s="516">
        <v>285144</v>
      </c>
      <c r="D34" s="515"/>
      <c r="E34" s="516">
        <v>294615</v>
      </c>
      <c r="F34" s="515"/>
      <c r="G34" s="514">
        <f>(E34-C34)/C34</f>
        <v>3.3214796734281626E-2</v>
      </c>
      <c r="H34" s="514"/>
      <c r="I34" s="514"/>
    </row>
    <row r="35" spans="1:9" x14ac:dyDescent="0.25">
      <c r="A35" s="489"/>
      <c r="B35" s="490"/>
      <c r="C35" s="515"/>
      <c r="D35" s="515"/>
      <c r="E35" s="515"/>
      <c r="F35" s="515"/>
      <c r="G35" s="514"/>
      <c r="H35" s="514"/>
      <c r="I35" s="514"/>
    </row>
    <row r="37" spans="1:9" x14ac:dyDescent="0.25">
      <c r="A37" s="364" t="s">
        <v>294</v>
      </c>
      <c r="B37" s="524"/>
      <c r="C37" s="524"/>
      <c r="D37" s="366" t="s">
        <v>332</v>
      </c>
      <c r="E37" s="525" t="s">
        <v>333</v>
      </c>
      <c r="F37" s="364" t="s">
        <v>140</v>
      </c>
      <c r="G37" s="524"/>
      <c r="H37" s="365"/>
    </row>
    <row r="38" spans="1:9" x14ac:dyDescent="0.25">
      <c r="A38" s="357"/>
      <c r="B38" s="358"/>
      <c r="C38" s="358"/>
      <c r="D38" s="366"/>
      <c r="E38" s="526"/>
      <c r="F38" s="357"/>
      <c r="G38" s="358"/>
      <c r="H38" s="359"/>
    </row>
    <row r="39" spans="1:9" ht="16.5" customHeight="1" x14ac:dyDescent="0.3">
      <c r="A39" s="347" t="s">
        <v>295</v>
      </c>
      <c r="B39" s="348"/>
      <c r="C39" s="131" t="s">
        <v>181</v>
      </c>
      <c r="D39" s="134">
        <v>10128</v>
      </c>
      <c r="E39" s="134">
        <v>14266</v>
      </c>
      <c r="F39" s="527">
        <v>0.40857030015797791</v>
      </c>
      <c r="G39" s="528"/>
      <c r="H39" s="529"/>
    </row>
    <row r="40" spans="1:9" ht="16.5" customHeight="1" x14ac:dyDescent="0.3">
      <c r="A40" s="349"/>
      <c r="B40" s="350"/>
      <c r="C40" s="131" t="s">
        <v>182</v>
      </c>
      <c r="D40" s="134">
        <v>11716</v>
      </c>
      <c r="E40" s="134">
        <v>11960</v>
      </c>
      <c r="F40" s="527">
        <v>2.0826220553089792E-2</v>
      </c>
      <c r="G40" s="528"/>
      <c r="H40" s="529"/>
    </row>
    <row r="41" spans="1:9" ht="15" customHeight="1" x14ac:dyDescent="0.3">
      <c r="A41" s="343" t="s">
        <v>296</v>
      </c>
      <c r="B41" s="344"/>
      <c r="C41" s="131" t="s">
        <v>181</v>
      </c>
      <c r="D41" s="134">
        <v>31014</v>
      </c>
      <c r="E41" s="134">
        <v>40364</v>
      </c>
      <c r="F41" s="527">
        <v>0.30147675243438449</v>
      </c>
      <c r="G41" s="528"/>
      <c r="H41" s="529"/>
    </row>
    <row r="42" spans="1:9" ht="16.5" customHeight="1" x14ac:dyDescent="0.3">
      <c r="A42" s="355"/>
      <c r="B42" s="356"/>
      <c r="C42" s="131" t="s">
        <v>182</v>
      </c>
      <c r="D42" s="134">
        <v>10724</v>
      </c>
      <c r="E42" s="134">
        <v>10972</v>
      </c>
      <c r="F42" s="527">
        <v>2.3125699365908244E-2</v>
      </c>
      <c r="G42" s="528"/>
      <c r="H42" s="529"/>
    </row>
    <row r="43" spans="1:9" ht="16.5" customHeight="1" x14ac:dyDescent="0.3">
      <c r="A43" s="457" t="s">
        <v>297</v>
      </c>
      <c r="B43" s="458"/>
      <c r="C43" s="131" t="s">
        <v>181</v>
      </c>
      <c r="D43" s="134">
        <v>31748</v>
      </c>
      <c r="E43" s="134">
        <v>37366</v>
      </c>
      <c r="F43" s="527">
        <v>0.17695602872621896</v>
      </c>
      <c r="G43" s="528"/>
      <c r="H43" s="529"/>
    </row>
    <row r="44" spans="1:9" ht="16.5" customHeight="1" x14ac:dyDescent="0.3">
      <c r="A44" s="459"/>
      <c r="B44" s="460"/>
      <c r="C44" s="131" t="s">
        <v>182</v>
      </c>
      <c r="D44" s="134">
        <v>10748</v>
      </c>
      <c r="E44" s="134">
        <v>10996</v>
      </c>
      <c r="F44" s="527">
        <v>2.3074060290286566E-2</v>
      </c>
      <c r="G44" s="528"/>
      <c r="H44" s="529"/>
    </row>
    <row r="45" spans="1:9" ht="16.5" customHeight="1" x14ac:dyDescent="0.25"/>
  </sheetData>
  <mergeCells count="67">
    <mergeCell ref="F43:H43"/>
    <mergeCell ref="F44:H44"/>
    <mergeCell ref="A39:B40"/>
    <mergeCell ref="A41:B42"/>
    <mergeCell ref="A43:B44"/>
    <mergeCell ref="F41:H41"/>
    <mergeCell ref="F42:H42"/>
    <mergeCell ref="A37:C38"/>
    <mergeCell ref="D37:D38"/>
    <mergeCell ref="E37:E38"/>
    <mergeCell ref="F39:H39"/>
    <mergeCell ref="F40:H40"/>
    <mergeCell ref="F37:H38"/>
    <mergeCell ref="A34:B35"/>
    <mergeCell ref="C34:D35"/>
    <mergeCell ref="E34:F35"/>
    <mergeCell ref="G34:I35"/>
    <mergeCell ref="A30:B31"/>
    <mergeCell ref="C30:D31"/>
    <mergeCell ref="E30:F31"/>
    <mergeCell ref="G30:I31"/>
    <mergeCell ref="A32:B33"/>
    <mergeCell ref="C32:D33"/>
    <mergeCell ref="E32:F33"/>
    <mergeCell ref="G32:I33"/>
    <mergeCell ref="A24:B26"/>
    <mergeCell ref="A18:B20"/>
    <mergeCell ref="A21:B23"/>
    <mergeCell ref="A28:B29"/>
    <mergeCell ref="C28:F28"/>
    <mergeCell ref="C17:D17"/>
    <mergeCell ref="E17:F17"/>
    <mergeCell ref="G28:I29"/>
    <mergeCell ref="C29:D29"/>
    <mergeCell ref="E29:F29"/>
    <mergeCell ref="G21:I21"/>
    <mergeCell ref="G22:I22"/>
    <mergeCell ref="G23:I23"/>
    <mergeCell ref="G24:I24"/>
    <mergeCell ref="G25:I25"/>
    <mergeCell ref="G26:I26"/>
    <mergeCell ref="G18:I18"/>
    <mergeCell ref="G19:I19"/>
    <mergeCell ref="G20:I20"/>
    <mergeCell ref="G13:I13"/>
    <mergeCell ref="G14:I14"/>
    <mergeCell ref="A7:B10"/>
    <mergeCell ref="G7:I7"/>
    <mergeCell ref="G8:I8"/>
    <mergeCell ref="G9:I9"/>
    <mergeCell ref="G10:I10"/>
    <mergeCell ref="A16:B17"/>
    <mergeCell ref="C16:F16"/>
    <mergeCell ref="G16:I17"/>
    <mergeCell ref="A1:B2"/>
    <mergeCell ref="C1:F1"/>
    <mergeCell ref="G1:I2"/>
    <mergeCell ref="C2:D2"/>
    <mergeCell ref="E2:F2"/>
    <mergeCell ref="A3:B6"/>
    <mergeCell ref="G3:I3"/>
    <mergeCell ref="G4:I4"/>
    <mergeCell ref="G5:I5"/>
    <mergeCell ref="G6:I6"/>
    <mergeCell ref="A11:B14"/>
    <mergeCell ref="G11:I11"/>
    <mergeCell ref="G12:I12"/>
  </mergeCells>
  <conditionalFormatting sqref="G3:G14 G18:G26 F39:F44">
    <cfRule type="cellIs" dxfId="13" priority="9" operator="lessThan">
      <formula>0</formula>
    </cfRule>
    <cfRule type="cellIs" dxfId="12" priority="10" operator="greaterThan">
      <formula>0</formula>
    </cfRule>
  </conditionalFormatting>
  <conditionalFormatting sqref="G30:I35">
    <cfRule type="cellIs" dxfId="11" priority="5" operator="lessThan">
      <formula>0</formula>
    </cfRule>
    <cfRule type="cellIs" dxfId="10" priority="6" operator="greater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5CC0-249F-4125-B60C-2A8EE738AB2A}">
  <dimension ref="A1:S101"/>
  <sheetViews>
    <sheetView workbookViewId="0">
      <selection sqref="A1:S14"/>
    </sheetView>
  </sheetViews>
  <sheetFormatPr defaultRowHeight="15" x14ac:dyDescent="0.25"/>
  <cols>
    <col min="1" max="1" width="24" customWidth="1"/>
    <col min="2" max="2" width="18.28515625" customWidth="1"/>
    <col min="3" max="3" width="15.5703125" customWidth="1"/>
    <col min="4" max="4" width="15" customWidth="1"/>
    <col min="5" max="5" width="17.28515625" customWidth="1"/>
    <col min="6" max="6" width="19.140625" customWidth="1"/>
    <col min="7" max="7" width="24" customWidth="1"/>
    <col min="8" max="8" width="18" customWidth="1"/>
    <col min="9" max="9" width="14" customWidth="1"/>
    <col min="10" max="10" width="19.28515625" customWidth="1"/>
    <col min="11" max="11" width="23.28515625" customWidth="1"/>
    <col min="12" max="12" width="16.85546875" customWidth="1"/>
    <col min="13" max="13" width="16.140625" customWidth="1"/>
    <col min="14" max="14" width="18.7109375" customWidth="1"/>
  </cols>
  <sheetData>
    <row r="1" spans="1:19" ht="30" x14ac:dyDescent="0.25">
      <c r="A1" s="536" t="s">
        <v>363</v>
      </c>
      <c r="B1" s="536" t="s">
        <v>364</v>
      </c>
      <c r="C1" s="536" t="s">
        <v>365</v>
      </c>
      <c r="D1" s="536" t="s">
        <v>366</v>
      </c>
      <c r="E1" s="536" t="s">
        <v>367</v>
      </c>
      <c r="F1" s="536" t="s">
        <v>368</v>
      </c>
      <c r="G1" s="536" t="s">
        <v>369</v>
      </c>
      <c r="H1" s="536" t="s">
        <v>384</v>
      </c>
      <c r="I1" s="536" t="s">
        <v>385</v>
      </c>
      <c r="J1" s="536" t="s">
        <v>370</v>
      </c>
      <c r="K1" s="536" t="s">
        <v>371</v>
      </c>
      <c r="L1" s="536" t="s">
        <v>386</v>
      </c>
      <c r="M1" s="536" t="s">
        <v>387</v>
      </c>
      <c r="N1" s="552" t="s">
        <v>427</v>
      </c>
      <c r="O1" s="553"/>
      <c r="P1" s="553"/>
      <c r="Q1" s="553"/>
      <c r="R1" s="553"/>
      <c r="S1" s="553"/>
    </row>
    <row r="2" spans="1:19" s="550" customFormat="1" x14ac:dyDescent="0.25">
      <c r="A2" s="549" t="s">
        <v>426</v>
      </c>
      <c r="B2" s="549">
        <v>144</v>
      </c>
      <c r="C2" s="549">
        <v>276</v>
      </c>
      <c r="D2" s="549">
        <v>420</v>
      </c>
      <c r="E2" s="549">
        <v>214</v>
      </c>
      <c r="F2" s="549">
        <v>460</v>
      </c>
      <c r="G2" s="549">
        <v>674</v>
      </c>
      <c r="H2" s="549">
        <v>254</v>
      </c>
      <c r="I2" s="551">
        <v>0.6</v>
      </c>
      <c r="J2" s="549"/>
      <c r="K2" s="549"/>
      <c r="L2" s="549"/>
      <c r="M2" s="549"/>
      <c r="N2" s="554"/>
      <c r="O2" s="553"/>
      <c r="P2" s="553"/>
      <c r="Q2" s="553"/>
      <c r="R2" s="553"/>
      <c r="S2" s="553"/>
    </row>
    <row r="3" spans="1:19" x14ac:dyDescent="0.25">
      <c r="A3" s="537" t="s">
        <v>372</v>
      </c>
      <c r="B3" s="538">
        <v>1120</v>
      </c>
      <c r="C3" s="539">
        <v>356</v>
      </c>
      <c r="D3" s="538">
        <v>1476</v>
      </c>
      <c r="E3" s="539">
        <v>940</v>
      </c>
      <c r="F3" s="539">
        <v>476</v>
      </c>
      <c r="G3" s="538">
        <v>1416</v>
      </c>
      <c r="H3" s="539">
        <v>-60</v>
      </c>
      <c r="I3" s="540">
        <v>-4.1000000000000002E-2</v>
      </c>
      <c r="J3" s="539">
        <v>513</v>
      </c>
      <c r="K3" s="541">
        <v>513</v>
      </c>
      <c r="L3" s="131">
        <v>0</v>
      </c>
      <c r="M3" s="138">
        <v>0</v>
      </c>
      <c r="N3" s="554"/>
      <c r="O3" s="553"/>
      <c r="P3" s="553"/>
      <c r="Q3" s="553"/>
      <c r="R3" s="553"/>
      <c r="S3" s="553"/>
    </row>
    <row r="4" spans="1:19" x14ac:dyDescent="0.25">
      <c r="A4" s="537" t="s">
        <v>373</v>
      </c>
      <c r="B4" s="539">
        <v>380</v>
      </c>
      <c r="C4" s="539">
        <v>276</v>
      </c>
      <c r="D4" s="539">
        <v>656</v>
      </c>
      <c r="E4" s="539">
        <v>312</v>
      </c>
      <c r="F4" s="539">
        <v>460</v>
      </c>
      <c r="G4" s="539">
        <v>772</v>
      </c>
      <c r="H4" s="539">
        <v>116</v>
      </c>
      <c r="I4" s="540">
        <v>0.17699999999999999</v>
      </c>
      <c r="J4" s="539">
        <v>512</v>
      </c>
      <c r="K4" s="541">
        <v>512</v>
      </c>
      <c r="L4" s="131">
        <v>0</v>
      </c>
      <c r="M4" s="138">
        <v>0</v>
      </c>
      <c r="N4" s="554"/>
      <c r="O4" s="553"/>
      <c r="P4" s="553"/>
      <c r="Q4" s="553"/>
      <c r="R4" s="553"/>
      <c r="S4" s="553"/>
    </row>
    <row r="5" spans="1:19" x14ac:dyDescent="0.25">
      <c r="A5" s="537" t="s">
        <v>374</v>
      </c>
      <c r="B5" s="538">
        <v>1512</v>
      </c>
      <c r="C5" s="539">
        <v>416</v>
      </c>
      <c r="D5" s="538">
        <v>1928</v>
      </c>
      <c r="E5" s="538">
        <v>1312</v>
      </c>
      <c r="F5" s="539">
        <v>528</v>
      </c>
      <c r="G5" s="538">
        <v>1840</v>
      </c>
      <c r="H5" s="539">
        <v>-88</v>
      </c>
      <c r="I5" s="540">
        <v>-4.5999999999999999E-2</v>
      </c>
      <c r="J5" s="539">
        <v>553</v>
      </c>
      <c r="K5" s="541">
        <v>517</v>
      </c>
      <c r="L5" s="131">
        <v>-36</v>
      </c>
      <c r="M5" s="138">
        <v>-6.5000000000000002E-2</v>
      </c>
      <c r="N5" s="554"/>
      <c r="O5" s="553"/>
      <c r="P5" s="553"/>
      <c r="Q5" s="553"/>
      <c r="R5" s="553"/>
      <c r="S5" s="553"/>
    </row>
    <row r="6" spans="1:19" x14ac:dyDescent="0.25">
      <c r="A6" s="537" t="s">
        <v>375</v>
      </c>
      <c r="B6" s="538">
        <v>1288</v>
      </c>
      <c r="C6" s="539">
        <v>456</v>
      </c>
      <c r="D6" s="538">
        <v>1744</v>
      </c>
      <c r="E6" s="538">
        <v>1164</v>
      </c>
      <c r="F6" s="539">
        <v>523</v>
      </c>
      <c r="G6" s="538">
        <v>1687</v>
      </c>
      <c r="H6" s="539">
        <v>-57</v>
      </c>
      <c r="I6" s="540">
        <v>-3.3000000000000002E-2</v>
      </c>
      <c r="J6" s="539">
        <v>593</v>
      </c>
      <c r="K6" s="541">
        <v>556</v>
      </c>
      <c r="L6" s="131">
        <v>-37</v>
      </c>
      <c r="M6" s="138">
        <v>-6.2E-2</v>
      </c>
      <c r="N6" s="554"/>
      <c r="O6" s="553"/>
      <c r="P6" s="553"/>
      <c r="Q6" s="553"/>
      <c r="R6" s="553"/>
      <c r="S6" s="553"/>
    </row>
    <row r="7" spans="1:19" x14ac:dyDescent="0.25">
      <c r="A7" s="537" t="s">
        <v>376</v>
      </c>
      <c r="B7" s="538">
        <v>1208</v>
      </c>
      <c r="C7" s="539">
        <v>372</v>
      </c>
      <c r="D7" s="538">
        <v>1580</v>
      </c>
      <c r="E7" s="538">
        <v>1216</v>
      </c>
      <c r="F7" s="539">
        <v>516</v>
      </c>
      <c r="G7" s="538">
        <v>1732</v>
      </c>
      <c r="H7" s="539">
        <v>152</v>
      </c>
      <c r="I7" s="540">
        <v>9.6000000000000002E-2</v>
      </c>
      <c r="J7" s="539">
        <v>557</v>
      </c>
      <c r="K7" s="541">
        <v>514</v>
      </c>
      <c r="L7" s="131">
        <v>-43</v>
      </c>
      <c r="M7" s="138">
        <v>-7.6999999999999999E-2</v>
      </c>
      <c r="N7" s="554"/>
      <c r="O7" s="553"/>
      <c r="P7" s="553"/>
      <c r="Q7" s="553"/>
      <c r="R7" s="553"/>
      <c r="S7" s="553"/>
    </row>
    <row r="8" spans="1:19" x14ac:dyDescent="0.25">
      <c r="A8" s="537" t="s">
        <v>377</v>
      </c>
      <c r="B8" s="539">
        <v>976</v>
      </c>
      <c r="C8" s="539">
        <v>412</v>
      </c>
      <c r="D8" s="538">
        <v>1388</v>
      </c>
      <c r="E8" s="539">
        <v>944</v>
      </c>
      <c r="F8" s="539">
        <v>516</v>
      </c>
      <c r="G8" s="538">
        <v>1460</v>
      </c>
      <c r="H8" s="539">
        <v>72</v>
      </c>
      <c r="I8" s="540">
        <v>5.1999999999999998E-2</v>
      </c>
      <c r="J8" s="539">
        <v>600</v>
      </c>
      <c r="K8" s="541">
        <v>553</v>
      </c>
      <c r="L8" s="131">
        <v>-47</v>
      </c>
      <c r="M8" s="138">
        <v>-7.8E-2</v>
      </c>
      <c r="N8" s="554"/>
      <c r="O8" s="553"/>
      <c r="P8" s="553"/>
      <c r="Q8" s="553"/>
      <c r="R8" s="553"/>
      <c r="S8" s="553"/>
    </row>
    <row r="9" spans="1:19" x14ac:dyDescent="0.25">
      <c r="A9" s="537" t="s">
        <v>378</v>
      </c>
      <c r="B9" s="538">
        <v>1052</v>
      </c>
      <c r="C9" s="539">
        <v>368</v>
      </c>
      <c r="D9" s="538">
        <v>1420</v>
      </c>
      <c r="E9" s="539">
        <v>860</v>
      </c>
      <c r="F9" s="539">
        <v>516</v>
      </c>
      <c r="G9" s="538">
        <v>1376</v>
      </c>
      <c r="H9" s="539">
        <v>-44</v>
      </c>
      <c r="I9" s="540">
        <v>-3.1E-2</v>
      </c>
      <c r="J9" s="539">
        <v>556</v>
      </c>
      <c r="K9" s="541">
        <v>513</v>
      </c>
      <c r="L9" s="131">
        <v>-43</v>
      </c>
      <c r="M9" s="138">
        <v>-7.6999999999999999E-2</v>
      </c>
      <c r="N9" s="554"/>
      <c r="O9" s="553"/>
      <c r="P9" s="553"/>
      <c r="Q9" s="553"/>
      <c r="R9" s="553"/>
      <c r="S9" s="553"/>
    </row>
    <row r="10" spans="1:19" x14ac:dyDescent="0.25">
      <c r="A10" s="537" t="s">
        <v>379</v>
      </c>
      <c r="B10" s="539">
        <v>992</v>
      </c>
      <c r="C10" s="539">
        <v>420</v>
      </c>
      <c r="D10" s="538">
        <v>1412</v>
      </c>
      <c r="E10" s="539">
        <v>824</v>
      </c>
      <c r="F10" s="539">
        <v>516</v>
      </c>
      <c r="G10" s="538">
        <v>1340</v>
      </c>
      <c r="H10" s="539">
        <v>-72</v>
      </c>
      <c r="I10" s="540">
        <v>-5.0999999999999997E-2</v>
      </c>
      <c r="J10" s="539">
        <v>608</v>
      </c>
      <c r="K10" s="541">
        <v>552</v>
      </c>
      <c r="L10" s="131">
        <v>-56</v>
      </c>
      <c r="M10" s="138">
        <v>-9.1999999999999998E-2</v>
      </c>
    </row>
    <row r="11" spans="1:19" x14ac:dyDescent="0.25">
      <c r="A11" s="537" t="s">
        <v>380</v>
      </c>
      <c r="B11" s="538">
        <v>1240</v>
      </c>
      <c r="C11" s="539">
        <v>464</v>
      </c>
      <c r="D11" s="538">
        <v>1704</v>
      </c>
      <c r="E11" s="538">
        <v>1632</v>
      </c>
      <c r="F11" s="539">
        <v>519</v>
      </c>
      <c r="G11" s="538">
        <v>2151</v>
      </c>
      <c r="H11" s="539">
        <v>447</v>
      </c>
      <c r="I11" s="540">
        <v>0.26200000000000001</v>
      </c>
      <c r="J11" s="539">
        <v>592</v>
      </c>
      <c r="K11" s="541">
        <v>556</v>
      </c>
      <c r="L11" s="131">
        <v>-36</v>
      </c>
      <c r="M11" s="138">
        <v>-6.0999999999999999E-2</v>
      </c>
    </row>
    <row r="12" spans="1:19" x14ac:dyDescent="0.25">
      <c r="A12" s="537" t="s">
        <v>381</v>
      </c>
      <c r="B12" s="538">
        <v>1412</v>
      </c>
      <c r="C12" s="539">
        <v>464</v>
      </c>
      <c r="D12" s="538">
        <v>1876</v>
      </c>
      <c r="E12" s="538">
        <v>1428</v>
      </c>
      <c r="F12" s="539">
        <v>512</v>
      </c>
      <c r="G12" s="538">
        <v>1940</v>
      </c>
      <c r="H12" s="539">
        <v>64</v>
      </c>
      <c r="I12" s="540">
        <v>3.4000000000000002E-2</v>
      </c>
      <c r="J12" s="539">
        <v>592</v>
      </c>
      <c r="K12" s="541">
        <v>552</v>
      </c>
      <c r="L12" s="131">
        <v>-40</v>
      </c>
      <c r="M12" s="138">
        <v>-6.8000000000000005E-2</v>
      </c>
    </row>
    <row r="13" spans="1:19" x14ac:dyDescent="0.25">
      <c r="A13" s="537" t="s">
        <v>382</v>
      </c>
      <c r="B13" s="538">
        <v>1010</v>
      </c>
      <c r="C13" s="539">
        <v>316</v>
      </c>
      <c r="D13" s="538">
        <v>1326</v>
      </c>
      <c r="E13" s="539">
        <v>858</v>
      </c>
      <c r="F13" s="539">
        <v>460</v>
      </c>
      <c r="G13" s="538">
        <v>1318</v>
      </c>
      <c r="H13" s="539">
        <v>-8</v>
      </c>
      <c r="I13" s="540">
        <v>-6.0000000000000001E-3</v>
      </c>
      <c r="J13" s="539">
        <v>512</v>
      </c>
      <c r="K13" s="541">
        <v>512</v>
      </c>
      <c r="L13" s="131">
        <v>0</v>
      </c>
      <c r="M13" s="138">
        <v>0</v>
      </c>
    </row>
    <row r="14" spans="1:19" x14ac:dyDescent="0.25">
      <c r="A14" s="537" t="s">
        <v>383</v>
      </c>
      <c r="B14" s="538">
        <v>1192</v>
      </c>
      <c r="C14" s="539">
        <v>396</v>
      </c>
      <c r="D14" s="538">
        <v>1588</v>
      </c>
      <c r="E14" s="538">
        <v>1080</v>
      </c>
      <c r="F14" s="539">
        <v>500</v>
      </c>
      <c r="G14" s="538">
        <v>1580</v>
      </c>
      <c r="H14" s="539">
        <v>-8</v>
      </c>
      <c r="I14" s="540">
        <v>-5.0000000000000001E-3</v>
      </c>
      <c r="J14" s="539">
        <v>532</v>
      </c>
      <c r="K14" s="541">
        <v>532</v>
      </c>
      <c r="L14" s="131">
        <v>0</v>
      </c>
      <c r="M14" s="138">
        <v>0</v>
      </c>
    </row>
    <row r="15" spans="1:19" x14ac:dyDescent="0.25">
      <c r="A15" s="281"/>
    </row>
    <row r="17" spans="1:7" x14ac:dyDescent="0.25">
      <c r="A17" s="542" t="s">
        <v>363</v>
      </c>
      <c r="B17" s="542" t="s">
        <v>390</v>
      </c>
      <c r="C17" s="542"/>
      <c r="D17" s="542"/>
      <c r="E17" s="542"/>
      <c r="F17" s="542" t="s">
        <v>388</v>
      </c>
      <c r="G17" s="542"/>
    </row>
    <row r="18" spans="1:7" x14ac:dyDescent="0.25">
      <c r="A18" s="542"/>
      <c r="B18" s="543" t="s">
        <v>389</v>
      </c>
      <c r="C18" s="543"/>
      <c r="D18" s="543" t="s">
        <v>334</v>
      </c>
      <c r="E18" s="543"/>
      <c r="F18" s="543" t="s">
        <v>230</v>
      </c>
      <c r="G18" s="543" t="s">
        <v>160</v>
      </c>
    </row>
    <row r="19" spans="1:7" x14ac:dyDescent="0.25">
      <c r="A19" s="544" t="s">
        <v>372</v>
      </c>
      <c r="B19" s="131" t="s">
        <v>147</v>
      </c>
      <c r="C19" s="131">
        <v>1120</v>
      </c>
      <c r="D19" s="131" t="s">
        <v>147</v>
      </c>
      <c r="E19" s="131">
        <v>940</v>
      </c>
      <c r="F19" s="131">
        <f>(E19-C19)/C19</f>
        <v>-0.16071428571428573</v>
      </c>
      <c r="G19" s="138">
        <f>F19</f>
        <v>-0.16071428571428573</v>
      </c>
    </row>
    <row r="20" spans="1:7" x14ac:dyDescent="0.25">
      <c r="A20" s="544"/>
      <c r="B20" s="131" t="s">
        <v>148</v>
      </c>
      <c r="C20" s="131">
        <v>356</v>
      </c>
      <c r="D20" s="131" t="s">
        <v>148</v>
      </c>
      <c r="E20" s="131">
        <v>476</v>
      </c>
      <c r="F20" s="131">
        <f t="shared" ref="F20:F66" si="0">(E20-C20)/C20</f>
        <v>0.33707865168539325</v>
      </c>
      <c r="G20" s="138">
        <f t="shared" ref="G20:G66" si="1">F20</f>
        <v>0.33707865168539325</v>
      </c>
    </row>
    <row r="21" spans="1:7" x14ac:dyDescent="0.25">
      <c r="A21" s="544"/>
      <c r="B21" s="131" t="s">
        <v>149</v>
      </c>
      <c r="C21" s="131">
        <v>513</v>
      </c>
      <c r="D21" s="131" t="s">
        <v>149</v>
      </c>
      <c r="E21" s="131">
        <v>513</v>
      </c>
      <c r="F21" s="131">
        <f t="shared" si="0"/>
        <v>0</v>
      </c>
      <c r="G21" s="138">
        <f t="shared" si="1"/>
        <v>0</v>
      </c>
    </row>
    <row r="22" spans="1:7" x14ac:dyDescent="0.25">
      <c r="A22" s="544"/>
      <c r="B22" s="137" t="s">
        <v>187</v>
      </c>
      <c r="C22" s="137">
        <v>1476</v>
      </c>
      <c r="D22" s="137" t="s">
        <v>187</v>
      </c>
      <c r="E22" s="137">
        <v>1416</v>
      </c>
      <c r="F22" s="137">
        <f t="shared" si="0"/>
        <v>-4.065040650406504E-2</v>
      </c>
      <c r="G22" s="139">
        <f t="shared" si="1"/>
        <v>-4.065040650406504E-2</v>
      </c>
    </row>
    <row r="23" spans="1:7" x14ac:dyDescent="0.25">
      <c r="A23" s="544" t="s">
        <v>373</v>
      </c>
      <c r="B23" s="131" t="s">
        <v>147</v>
      </c>
      <c r="C23" s="131">
        <v>380</v>
      </c>
      <c r="D23" s="131" t="s">
        <v>147</v>
      </c>
      <c r="E23" s="131">
        <v>312</v>
      </c>
      <c r="F23" s="131">
        <f t="shared" si="0"/>
        <v>-0.17894736842105263</v>
      </c>
      <c r="G23" s="138">
        <f t="shared" si="1"/>
        <v>-0.17894736842105263</v>
      </c>
    </row>
    <row r="24" spans="1:7" x14ac:dyDescent="0.25">
      <c r="A24" s="544"/>
      <c r="B24" s="131" t="s">
        <v>148</v>
      </c>
      <c r="C24" s="131">
        <v>276</v>
      </c>
      <c r="D24" s="131" t="s">
        <v>148</v>
      </c>
      <c r="E24" s="131">
        <v>460</v>
      </c>
      <c r="F24" s="131">
        <f t="shared" si="0"/>
        <v>0.66666666666666663</v>
      </c>
      <c r="G24" s="138">
        <f t="shared" si="1"/>
        <v>0.66666666666666663</v>
      </c>
    </row>
    <row r="25" spans="1:7" x14ac:dyDescent="0.25">
      <c r="A25" s="544"/>
      <c r="B25" s="131" t="s">
        <v>149</v>
      </c>
      <c r="C25" s="131">
        <v>512</v>
      </c>
      <c r="D25" s="131" t="s">
        <v>149</v>
      </c>
      <c r="E25" s="131">
        <v>512</v>
      </c>
      <c r="F25" s="131">
        <f t="shared" si="0"/>
        <v>0</v>
      </c>
      <c r="G25" s="138">
        <f t="shared" si="1"/>
        <v>0</v>
      </c>
    </row>
    <row r="26" spans="1:7" x14ac:dyDescent="0.25">
      <c r="A26" s="544"/>
      <c r="B26" s="137" t="s">
        <v>187</v>
      </c>
      <c r="C26" s="137">
        <v>656</v>
      </c>
      <c r="D26" s="137" t="s">
        <v>187</v>
      </c>
      <c r="E26" s="137">
        <v>772</v>
      </c>
      <c r="F26" s="137">
        <f t="shared" si="0"/>
        <v>0.17682926829268292</v>
      </c>
      <c r="G26" s="139">
        <f t="shared" si="1"/>
        <v>0.17682926829268292</v>
      </c>
    </row>
    <row r="27" spans="1:7" x14ac:dyDescent="0.25">
      <c r="A27" s="544" t="s">
        <v>374</v>
      </c>
      <c r="B27" s="131" t="s">
        <v>147</v>
      </c>
      <c r="C27" s="131">
        <v>1512</v>
      </c>
      <c r="D27" s="131" t="s">
        <v>147</v>
      </c>
      <c r="E27" s="131">
        <v>1312</v>
      </c>
      <c r="F27" s="131">
        <f t="shared" si="0"/>
        <v>-0.13227513227513227</v>
      </c>
      <c r="G27" s="138">
        <f t="shared" si="1"/>
        <v>-0.13227513227513227</v>
      </c>
    </row>
    <row r="28" spans="1:7" x14ac:dyDescent="0.25">
      <c r="A28" s="544"/>
      <c r="B28" s="131" t="s">
        <v>148</v>
      </c>
      <c r="C28" s="131">
        <v>416</v>
      </c>
      <c r="D28" s="131" t="s">
        <v>148</v>
      </c>
      <c r="E28" s="131">
        <v>528</v>
      </c>
      <c r="F28" s="131">
        <f t="shared" si="0"/>
        <v>0.26923076923076922</v>
      </c>
      <c r="G28" s="138">
        <f t="shared" si="1"/>
        <v>0.26923076923076922</v>
      </c>
    </row>
    <row r="29" spans="1:7" x14ac:dyDescent="0.25">
      <c r="A29" s="544"/>
      <c r="B29" s="131" t="s">
        <v>149</v>
      </c>
      <c r="C29" s="131">
        <v>553</v>
      </c>
      <c r="D29" s="131" t="s">
        <v>149</v>
      </c>
      <c r="E29" s="131">
        <v>517</v>
      </c>
      <c r="F29" s="131">
        <f t="shared" si="0"/>
        <v>-6.50994575045208E-2</v>
      </c>
      <c r="G29" s="138">
        <f t="shared" si="1"/>
        <v>-6.50994575045208E-2</v>
      </c>
    </row>
    <row r="30" spans="1:7" x14ac:dyDescent="0.25">
      <c r="A30" s="544"/>
      <c r="B30" s="137" t="s">
        <v>187</v>
      </c>
      <c r="C30" s="137">
        <v>1928</v>
      </c>
      <c r="D30" s="137" t="s">
        <v>187</v>
      </c>
      <c r="E30" s="137">
        <v>1840</v>
      </c>
      <c r="F30" s="137">
        <f t="shared" si="0"/>
        <v>-4.5643153526970952E-2</v>
      </c>
      <c r="G30" s="139">
        <f t="shared" si="1"/>
        <v>-4.5643153526970952E-2</v>
      </c>
    </row>
    <row r="31" spans="1:7" x14ac:dyDescent="0.25">
      <c r="A31" s="544" t="s">
        <v>375</v>
      </c>
      <c r="B31" s="131" t="s">
        <v>147</v>
      </c>
      <c r="C31" s="131">
        <v>1288</v>
      </c>
      <c r="D31" s="131" t="s">
        <v>147</v>
      </c>
      <c r="E31" s="131">
        <v>1164</v>
      </c>
      <c r="F31" s="131">
        <f t="shared" si="0"/>
        <v>-9.627329192546584E-2</v>
      </c>
      <c r="G31" s="138">
        <f t="shared" si="1"/>
        <v>-9.627329192546584E-2</v>
      </c>
    </row>
    <row r="32" spans="1:7" x14ac:dyDescent="0.25">
      <c r="A32" s="544"/>
      <c r="B32" s="131" t="s">
        <v>148</v>
      </c>
      <c r="C32" s="131">
        <v>456</v>
      </c>
      <c r="D32" s="131" t="s">
        <v>148</v>
      </c>
      <c r="E32" s="131">
        <v>523</v>
      </c>
      <c r="F32" s="131">
        <f t="shared" si="0"/>
        <v>0.14692982456140352</v>
      </c>
      <c r="G32" s="138">
        <f t="shared" si="1"/>
        <v>0.14692982456140352</v>
      </c>
    </row>
    <row r="33" spans="1:7" x14ac:dyDescent="0.25">
      <c r="A33" s="544"/>
      <c r="B33" s="131" t="s">
        <v>149</v>
      </c>
      <c r="C33" s="131">
        <v>593</v>
      </c>
      <c r="D33" s="131" t="s">
        <v>149</v>
      </c>
      <c r="E33" s="131">
        <v>556</v>
      </c>
      <c r="F33" s="131">
        <f t="shared" si="0"/>
        <v>-6.2394603709949412E-2</v>
      </c>
      <c r="G33" s="138">
        <f t="shared" si="1"/>
        <v>-6.2394603709949412E-2</v>
      </c>
    </row>
    <row r="34" spans="1:7" x14ac:dyDescent="0.25">
      <c r="A34" s="544"/>
      <c r="B34" s="137" t="s">
        <v>187</v>
      </c>
      <c r="C34" s="137">
        <v>1744</v>
      </c>
      <c r="D34" s="137" t="s">
        <v>187</v>
      </c>
      <c r="E34" s="137">
        <v>1687</v>
      </c>
      <c r="F34" s="137">
        <f t="shared" si="0"/>
        <v>-3.2683486238532108E-2</v>
      </c>
      <c r="G34" s="139">
        <f t="shared" si="1"/>
        <v>-3.2683486238532108E-2</v>
      </c>
    </row>
    <row r="35" spans="1:7" x14ac:dyDescent="0.25">
      <c r="A35" s="544" t="s">
        <v>376</v>
      </c>
      <c r="B35" s="131" t="s">
        <v>147</v>
      </c>
      <c r="C35" s="131">
        <v>1208</v>
      </c>
      <c r="D35" s="131" t="s">
        <v>147</v>
      </c>
      <c r="E35" s="131">
        <v>1216</v>
      </c>
      <c r="F35" s="131">
        <f t="shared" si="0"/>
        <v>6.6225165562913907E-3</v>
      </c>
      <c r="G35" s="138">
        <f t="shared" si="1"/>
        <v>6.6225165562913907E-3</v>
      </c>
    </row>
    <row r="36" spans="1:7" x14ac:dyDescent="0.25">
      <c r="A36" s="544"/>
      <c r="B36" s="131" t="s">
        <v>148</v>
      </c>
      <c r="C36" s="131">
        <v>372</v>
      </c>
      <c r="D36" s="131" t="s">
        <v>148</v>
      </c>
      <c r="E36" s="131">
        <v>516</v>
      </c>
      <c r="F36" s="131">
        <f t="shared" si="0"/>
        <v>0.38709677419354838</v>
      </c>
      <c r="G36" s="138">
        <f t="shared" si="1"/>
        <v>0.38709677419354838</v>
      </c>
    </row>
    <row r="37" spans="1:7" x14ac:dyDescent="0.25">
      <c r="A37" s="544"/>
      <c r="B37" s="131" t="s">
        <v>149</v>
      </c>
      <c r="C37" s="131">
        <v>557</v>
      </c>
      <c r="D37" s="131" t="s">
        <v>149</v>
      </c>
      <c r="E37" s="131">
        <v>514</v>
      </c>
      <c r="F37" s="131">
        <f t="shared" si="0"/>
        <v>-7.719928186714542E-2</v>
      </c>
      <c r="G37" s="138">
        <f t="shared" si="1"/>
        <v>-7.719928186714542E-2</v>
      </c>
    </row>
    <row r="38" spans="1:7" x14ac:dyDescent="0.25">
      <c r="A38" s="544"/>
      <c r="B38" s="137" t="s">
        <v>187</v>
      </c>
      <c r="C38" s="137">
        <v>1580</v>
      </c>
      <c r="D38" s="137" t="s">
        <v>187</v>
      </c>
      <c r="E38" s="137">
        <v>1732</v>
      </c>
      <c r="F38" s="137">
        <f t="shared" si="0"/>
        <v>9.6202531645569619E-2</v>
      </c>
      <c r="G38" s="139">
        <f t="shared" si="1"/>
        <v>9.6202531645569619E-2</v>
      </c>
    </row>
    <row r="39" spans="1:7" x14ac:dyDescent="0.25">
      <c r="A39" s="544" t="s">
        <v>377</v>
      </c>
      <c r="B39" s="131" t="s">
        <v>147</v>
      </c>
      <c r="C39" s="131">
        <v>976</v>
      </c>
      <c r="D39" s="131" t="s">
        <v>147</v>
      </c>
      <c r="E39" s="131">
        <v>944</v>
      </c>
      <c r="F39" s="131">
        <f t="shared" si="0"/>
        <v>-3.2786885245901641E-2</v>
      </c>
      <c r="G39" s="138">
        <f t="shared" si="1"/>
        <v>-3.2786885245901641E-2</v>
      </c>
    </row>
    <row r="40" spans="1:7" x14ac:dyDescent="0.25">
      <c r="A40" s="544"/>
      <c r="B40" s="131" t="s">
        <v>148</v>
      </c>
      <c r="C40" s="131">
        <v>412</v>
      </c>
      <c r="D40" s="131" t="s">
        <v>148</v>
      </c>
      <c r="E40" s="131">
        <v>516</v>
      </c>
      <c r="F40" s="131">
        <f t="shared" si="0"/>
        <v>0.25242718446601942</v>
      </c>
      <c r="G40" s="138">
        <f t="shared" si="1"/>
        <v>0.25242718446601942</v>
      </c>
    </row>
    <row r="41" spans="1:7" x14ac:dyDescent="0.25">
      <c r="A41" s="544"/>
      <c r="B41" s="131" t="s">
        <v>149</v>
      </c>
      <c r="C41" s="131">
        <v>600</v>
      </c>
      <c r="D41" s="131" t="s">
        <v>149</v>
      </c>
      <c r="E41" s="131">
        <v>553</v>
      </c>
      <c r="F41" s="131">
        <f t="shared" si="0"/>
        <v>-7.8333333333333338E-2</v>
      </c>
      <c r="G41" s="138">
        <f t="shared" si="1"/>
        <v>-7.8333333333333338E-2</v>
      </c>
    </row>
    <row r="42" spans="1:7" x14ac:dyDescent="0.25">
      <c r="A42" s="544"/>
      <c r="B42" s="137" t="s">
        <v>187</v>
      </c>
      <c r="C42" s="137">
        <v>1388</v>
      </c>
      <c r="D42" s="137" t="s">
        <v>187</v>
      </c>
      <c r="E42" s="137">
        <v>1460</v>
      </c>
      <c r="F42" s="137">
        <f t="shared" si="0"/>
        <v>5.1873198847262249E-2</v>
      </c>
      <c r="G42" s="139">
        <f t="shared" si="1"/>
        <v>5.1873198847262249E-2</v>
      </c>
    </row>
    <row r="43" spans="1:7" x14ac:dyDescent="0.25">
      <c r="A43" s="544" t="s">
        <v>378</v>
      </c>
      <c r="B43" s="131" t="s">
        <v>147</v>
      </c>
      <c r="C43" s="131">
        <v>1052</v>
      </c>
      <c r="D43" s="131" t="s">
        <v>147</v>
      </c>
      <c r="E43" s="131">
        <v>860</v>
      </c>
      <c r="F43" s="131">
        <f t="shared" si="0"/>
        <v>-0.18250950570342206</v>
      </c>
      <c r="G43" s="138">
        <f t="shared" si="1"/>
        <v>-0.18250950570342206</v>
      </c>
    </row>
    <row r="44" spans="1:7" x14ac:dyDescent="0.25">
      <c r="A44" s="544"/>
      <c r="B44" s="131" t="s">
        <v>148</v>
      </c>
      <c r="C44" s="131">
        <v>368</v>
      </c>
      <c r="D44" s="131" t="s">
        <v>148</v>
      </c>
      <c r="E44" s="131">
        <v>516</v>
      </c>
      <c r="F44" s="131">
        <f t="shared" si="0"/>
        <v>0.40217391304347827</v>
      </c>
      <c r="G44" s="138">
        <f t="shared" si="1"/>
        <v>0.40217391304347827</v>
      </c>
    </row>
    <row r="45" spans="1:7" x14ac:dyDescent="0.25">
      <c r="A45" s="544"/>
      <c r="B45" s="131" t="s">
        <v>149</v>
      </c>
      <c r="C45" s="131">
        <v>556</v>
      </c>
      <c r="D45" s="131" t="s">
        <v>149</v>
      </c>
      <c r="E45" s="131">
        <v>513</v>
      </c>
      <c r="F45" s="131">
        <f t="shared" si="0"/>
        <v>-7.7338129496402883E-2</v>
      </c>
      <c r="G45" s="138">
        <f t="shared" si="1"/>
        <v>-7.7338129496402883E-2</v>
      </c>
    </row>
    <row r="46" spans="1:7" x14ac:dyDescent="0.25">
      <c r="A46" s="544"/>
      <c r="B46" s="137" t="s">
        <v>187</v>
      </c>
      <c r="C46" s="137">
        <v>1420</v>
      </c>
      <c r="D46" s="137" t="s">
        <v>187</v>
      </c>
      <c r="E46" s="137">
        <v>1376</v>
      </c>
      <c r="F46" s="137">
        <f t="shared" si="0"/>
        <v>-3.0985915492957747E-2</v>
      </c>
      <c r="G46" s="139">
        <f t="shared" si="1"/>
        <v>-3.0985915492957747E-2</v>
      </c>
    </row>
    <row r="47" spans="1:7" x14ac:dyDescent="0.25">
      <c r="A47" s="544" t="s">
        <v>379</v>
      </c>
      <c r="B47" s="131" t="s">
        <v>147</v>
      </c>
      <c r="C47" s="131">
        <v>992</v>
      </c>
      <c r="D47" s="131" t="s">
        <v>147</v>
      </c>
      <c r="E47" s="131">
        <v>824</v>
      </c>
      <c r="F47" s="131">
        <f t="shared" si="0"/>
        <v>-0.16935483870967741</v>
      </c>
      <c r="G47" s="138">
        <f t="shared" si="1"/>
        <v>-0.16935483870967741</v>
      </c>
    </row>
    <row r="48" spans="1:7" x14ac:dyDescent="0.25">
      <c r="A48" s="544"/>
      <c r="B48" s="131" t="s">
        <v>148</v>
      </c>
      <c r="C48" s="131">
        <v>420</v>
      </c>
      <c r="D48" s="131" t="s">
        <v>148</v>
      </c>
      <c r="E48" s="131">
        <v>516</v>
      </c>
      <c r="F48" s="131">
        <f t="shared" si="0"/>
        <v>0.22857142857142856</v>
      </c>
      <c r="G48" s="138">
        <f t="shared" si="1"/>
        <v>0.22857142857142856</v>
      </c>
    </row>
    <row r="49" spans="1:7" x14ac:dyDescent="0.25">
      <c r="A49" s="544"/>
      <c r="B49" s="131" t="s">
        <v>149</v>
      </c>
      <c r="C49" s="131">
        <v>608</v>
      </c>
      <c r="D49" s="131" t="s">
        <v>149</v>
      </c>
      <c r="E49" s="131">
        <v>552</v>
      </c>
      <c r="F49" s="131">
        <f t="shared" si="0"/>
        <v>-9.2105263157894732E-2</v>
      </c>
      <c r="G49" s="138">
        <f t="shared" si="1"/>
        <v>-9.2105263157894732E-2</v>
      </c>
    </row>
    <row r="50" spans="1:7" x14ac:dyDescent="0.25">
      <c r="A50" s="544"/>
      <c r="B50" s="137" t="s">
        <v>187</v>
      </c>
      <c r="C50" s="137">
        <v>1412</v>
      </c>
      <c r="D50" s="137" t="s">
        <v>187</v>
      </c>
      <c r="E50" s="137">
        <v>1340</v>
      </c>
      <c r="F50" s="137">
        <f t="shared" si="0"/>
        <v>-5.0991501416430593E-2</v>
      </c>
      <c r="G50" s="139">
        <f t="shared" si="1"/>
        <v>-5.0991501416430593E-2</v>
      </c>
    </row>
    <row r="51" spans="1:7" x14ac:dyDescent="0.25">
      <c r="A51" s="544" t="s">
        <v>380</v>
      </c>
      <c r="B51" s="131" t="s">
        <v>147</v>
      </c>
      <c r="C51" s="131">
        <v>1240</v>
      </c>
      <c r="D51" s="131" t="s">
        <v>147</v>
      </c>
      <c r="E51" s="131">
        <v>1632</v>
      </c>
      <c r="F51" s="131">
        <f t="shared" si="0"/>
        <v>0.31612903225806449</v>
      </c>
      <c r="G51" s="138">
        <f t="shared" si="1"/>
        <v>0.31612903225806449</v>
      </c>
    </row>
    <row r="52" spans="1:7" x14ac:dyDescent="0.25">
      <c r="A52" s="544"/>
      <c r="B52" s="131" t="s">
        <v>148</v>
      </c>
      <c r="C52" s="131">
        <v>464</v>
      </c>
      <c r="D52" s="131" t="s">
        <v>148</v>
      </c>
      <c r="E52" s="131">
        <v>519</v>
      </c>
      <c r="F52" s="131">
        <f t="shared" si="0"/>
        <v>0.11853448275862069</v>
      </c>
      <c r="G52" s="138">
        <f t="shared" si="1"/>
        <v>0.11853448275862069</v>
      </c>
    </row>
    <row r="53" spans="1:7" x14ac:dyDescent="0.25">
      <c r="A53" s="544"/>
      <c r="B53" s="131" t="s">
        <v>149</v>
      </c>
      <c r="C53" s="131">
        <v>592</v>
      </c>
      <c r="D53" s="131" t="s">
        <v>149</v>
      </c>
      <c r="E53" s="131">
        <v>556</v>
      </c>
      <c r="F53" s="131">
        <f t="shared" si="0"/>
        <v>-6.0810810810810814E-2</v>
      </c>
      <c r="G53" s="138">
        <f t="shared" si="1"/>
        <v>-6.0810810810810814E-2</v>
      </c>
    </row>
    <row r="54" spans="1:7" x14ac:dyDescent="0.25">
      <c r="A54" s="544"/>
      <c r="B54" s="137" t="s">
        <v>187</v>
      </c>
      <c r="C54" s="137">
        <v>1704</v>
      </c>
      <c r="D54" s="137" t="s">
        <v>187</v>
      </c>
      <c r="E54" s="137">
        <v>2151</v>
      </c>
      <c r="F54" s="137">
        <f t="shared" si="0"/>
        <v>0.26232394366197181</v>
      </c>
      <c r="G54" s="139">
        <f t="shared" si="1"/>
        <v>0.26232394366197181</v>
      </c>
    </row>
    <row r="55" spans="1:7" x14ac:dyDescent="0.25">
      <c r="A55" s="544" t="s">
        <v>381</v>
      </c>
      <c r="B55" s="131" t="s">
        <v>147</v>
      </c>
      <c r="C55" s="131">
        <v>1412</v>
      </c>
      <c r="D55" s="131" t="s">
        <v>147</v>
      </c>
      <c r="E55" s="131">
        <v>1428</v>
      </c>
      <c r="F55" s="131">
        <f t="shared" si="0"/>
        <v>1.1331444759206799E-2</v>
      </c>
      <c r="G55" s="138">
        <f t="shared" si="1"/>
        <v>1.1331444759206799E-2</v>
      </c>
    </row>
    <row r="56" spans="1:7" x14ac:dyDescent="0.25">
      <c r="A56" s="544"/>
      <c r="B56" s="131" t="s">
        <v>148</v>
      </c>
      <c r="C56" s="131">
        <v>464</v>
      </c>
      <c r="D56" s="131" t="s">
        <v>148</v>
      </c>
      <c r="E56" s="131">
        <v>512</v>
      </c>
      <c r="F56" s="131">
        <f t="shared" si="0"/>
        <v>0.10344827586206896</v>
      </c>
      <c r="G56" s="138">
        <f t="shared" si="1"/>
        <v>0.10344827586206896</v>
      </c>
    </row>
    <row r="57" spans="1:7" x14ac:dyDescent="0.25">
      <c r="A57" s="544"/>
      <c r="B57" s="131" t="s">
        <v>149</v>
      </c>
      <c r="C57" s="131">
        <v>592</v>
      </c>
      <c r="D57" s="131" t="s">
        <v>149</v>
      </c>
      <c r="E57" s="131">
        <v>552</v>
      </c>
      <c r="F57" s="131">
        <f t="shared" si="0"/>
        <v>-6.7567567567567571E-2</v>
      </c>
      <c r="G57" s="138">
        <f t="shared" si="1"/>
        <v>-6.7567567567567571E-2</v>
      </c>
    </row>
    <row r="58" spans="1:7" x14ac:dyDescent="0.25">
      <c r="A58" s="544"/>
      <c r="B58" s="137" t="s">
        <v>187</v>
      </c>
      <c r="C58" s="137">
        <v>1876</v>
      </c>
      <c r="D58" s="137" t="s">
        <v>187</v>
      </c>
      <c r="E58" s="137">
        <v>1940</v>
      </c>
      <c r="F58" s="137">
        <f t="shared" si="0"/>
        <v>3.4115138592750532E-2</v>
      </c>
      <c r="G58" s="139">
        <f t="shared" si="1"/>
        <v>3.4115138592750532E-2</v>
      </c>
    </row>
    <row r="59" spans="1:7" x14ac:dyDescent="0.25">
      <c r="A59" s="544" t="s">
        <v>382</v>
      </c>
      <c r="B59" s="131" t="s">
        <v>147</v>
      </c>
      <c r="C59" s="131">
        <v>1010</v>
      </c>
      <c r="D59" s="131" t="s">
        <v>147</v>
      </c>
      <c r="E59" s="131">
        <v>858</v>
      </c>
      <c r="F59" s="131">
        <f t="shared" si="0"/>
        <v>-0.15049504950495049</v>
      </c>
      <c r="G59" s="138">
        <f t="shared" si="1"/>
        <v>-0.15049504950495049</v>
      </c>
    </row>
    <row r="60" spans="1:7" x14ac:dyDescent="0.25">
      <c r="A60" s="544"/>
      <c r="B60" s="131" t="s">
        <v>148</v>
      </c>
      <c r="C60" s="131">
        <v>316</v>
      </c>
      <c r="D60" s="131" t="s">
        <v>148</v>
      </c>
      <c r="E60" s="131">
        <v>460</v>
      </c>
      <c r="F60" s="131">
        <f t="shared" si="0"/>
        <v>0.45569620253164556</v>
      </c>
      <c r="G60" s="138">
        <f t="shared" si="1"/>
        <v>0.45569620253164556</v>
      </c>
    </row>
    <row r="61" spans="1:7" x14ac:dyDescent="0.25">
      <c r="A61" s="544"/>
      <c r="B61" s="131" t="s">
        <v>149</v>
      </c>
      <c r="C61" s="131">
        <v>512</v>
      </c>
      <c r="D61" s="131" t="s">
        <v>149</v>
      </c>
      <c r="E61" s="131">
        <v>512</v>
      </c>
      <c r="F61" s="131">
        <f t="shared" si="0"/>
        <v>0</v>
      </c>
      <c r="G61" s="138">
        <f t="shared" si="1"/>
        <v>0</v>
      </c>
    </row>
    <row r="62" spans="1:7" x14ac:dyDescent="0.25">
      <c r="A62" s="544"/>
      <c r="B62" s="137" t="s">
        <v>187</v>
      </c>
      <c r="C62" s="137">
        <v>1326</v>
      </c>
      <c r="D62" s="137" t="s">
        <v>187</v>
      </c>
      <c r="E62" s="137">
        <v>1318</v>
      </c>
      <c r="F62" s="137">
        <f t="shared" si="0"/>
        <v>-6.0331825037707393E-3</v>
      </c>
      <c r="G62" s="139">
        <f t="shared" si="1"/>
        <v>-6.0331825037707393E-3</v>
      </c>
    </row>
    <row r="63" spans="1:7" x14ac:dyDescent="0.25">
      <c r="A63" s="544" t="s">
        <v>383</v>
      </c>
      <c r="B63" s="131" t="s">
        <v>147</v>
      </c>
      <c r="C63" s="131">
        <v>1192</v>
      </c>
      <c r="D63" s="131" t="s">
        <v>147</v>
      </c>
      <c r="E63" s="131">
        <v>1080</v>
      </c>
      <c r="F63" s="131">
        <f t="shared" si="0"/>
        <v>-9.3959731543624164E-2</v>
      </c>
      <c r="G63" s="138">
        <f t="shared" si="1"/>
        <v>-9.3959731543624164E-2</v>
      </c>
    </row>
    <row r="64" spans="1:7" x14ac:dyDescent="0.25">
      <c r="A64" s="544"/>
      <c r="B64" s="131" t="s">
        <v>148</v>
      </c>
      <c r="C64" s="131">
        <v>396</v>
      </c>
      <c r="D64" s="131" t="s">
        <v>148</v>
      </c>
      <c r="E64" s="131">
        <v>500</v>
      </c>
      <c r="F64" s="131">
        <f t="shared" si="0"/>
        <v>0.26262626262626265</v>
      </c>
      <c r="G64" s="138">
        <f t="shared" si="1"/>
        <v>0.26262626262626265</v>
      </c>
    </row>
    <row r="65" spans="1:9" x14ac:dyDescent="0.25">
      <c r="A65" s="544"/>
      <c r="B65" s="131" t="s">
        <v>149</v>
      </c>
      <c r="C65" s="131">
        <v>532</v>
      </c>
      <c r="D65" s="131" t="s">
        <v>149</v>
      </c>
      <c r="E65" s="131">
        <v>532</v>
      </c>
      <c r="F65" s="131">
        <f t="shared" si="0"/>
        <v>0</v>
      </c>
      <c r="G65" s="138">
        <f t="shared" si="1"/>
        <v>0</v>
      </c>
    </row>
    <row r="66" spans="1:9" x14ac:dyDescent="0.25">
      <c r="A66" s="544"/>
      <c r="B66" s="137" t="s">
        <v>187</v>
      </c>
      <c r="C66" s="137">
        <v>1588</v>
      </c>
      <c r="D66" s="137" t="s">
        <v>187</v>
      </c>
      <c r="E66" s="137">
        <v>1580</v>
      </c>
      <c r="F66" s="137">
        <f t="shared" si="0"/>
        <v>-5.0377833753148613E-3</v>
      </c>
      <c r="G66" s="139">
        <f t="shared" si="1"/>
        <v>-5.0377833753148613E-3</v>
      </c>
    </row>
    <row r="68" spans="1:9" x14ac:dyDescent="0.25">
      <c r="A68" t="s">
        <v>402</v>
      </c>
    </row>
    <row r="69" spans="1:9" ht="30" x14ac:dyDescent="0.25">
      <c r="A69" s="530" t="s">
        <v>363</v>
      </c>
      <c r="B69" s="531" t="s">
        <v>391</v>
      </c>
      <c r="C69" s="531" t="s">
        <v>392</v>
      </c>
      <c r="D69" s="531" t="s">
        <v>393</v>
      </c>
      <c r="E69" s="531" t="s">
        <v>394</v>
      </c>
      <c r="F69" s="531" t="s">
        <v>395</v>
      </c>
      <c r="G69" s="531" t="s">
        <v>396</v>
      </c>
      <c r="H69" s="531" t="s">
        <v>397</v>
      </c>
      <c r="I69" s="531" t="s">
        <v>398</v>
      </c>
    </row>
    <row r="70" spans="1:9" x14ac:dyDescent="0.25">
      <c r="A70" s="532" t="s">
        <v>399</v>
      </c>
      <c r="B70" s="533">
        <v>9052</v>
      </c>
      <c r="C70" s="533">
        <v>12854</v>
      </c>
      <c r="D70" s="546">
        <f>B70-C70</f>
        <v>-3802</v>
      </c>
      <c r="E70" s="547">
        <f>D70/C70</f>
        <v>-0.29578341372335459</v>
      </c>
      <c r="F70" s="533">
        <v>10196</v>
      </c>
      <c r="G70" s="533">
        <v>10140</v>
      </c>
      <c r="H70" s="546">
        <f>F70-G70</f>
        <v>56</v>
      </c>
      <c r="I70" s="548">
        <v>5.4999999999999997E-3</v>
      </c>
    </row>
    <row r="71" spans="1:9" x14ac:dyDescent="0.25">
      <c r="A71" s="532" t="s">
        <v>400</v>
      </c>
      <c r="B71" s="533">
        <v>9640</v>
      </c>
      <c r="C71" s="533">
        <v>13430</v>
      </c>
      <c r="D71" s="546">
        <f t="shared" ref="D71:D72" si="2">B71-C71</f>
        <v>-3790</v>
      </c>
      <c r="E71" s="547">
        <v>-0.28220000000000001</v>
      </c>
      <c r="F71" s="533">
        <v>9188</v>
      </c>
      <c r="G71" s="533">
        <v>9132</v>
      </c>
      <c r="H71" s="546">
        <f t="shared" ref="H71:H72" si="3">F71-G71</f>
        <v>56</v>
      </c>
      <c r="I71" s="548">
        <v>6.1000000000000004E-3</v>
      </c>
    </row>
    <row r="72" spans="1:9" x14ac:dyDescent="0.25">
      <c r="A72" s="532" t="s">
        <v>401</v>
      </c>
      <c r="B72" s="533">
        <v>10012</v>
      </c>
      <c r="C72" s="533">
        <v>13894</v>
      </c>
      <c r="D72" s="546">
        <f t="shared" si="2"/>
        <v>-3882</v>
      </c>
      <c r="E72" s="547">
        <v>-0.27939999999999998</v>
      </c>
      <c r="F72" s="533">
        <v>9188</v>
      </c>
      <c r="G72" s="533">
        <v>9112</v>
      </c>
      <c r="H72" s="546">
        <f t="shared" si="3"/>
        <v>76</v>
      </c>
      <c r="I72" s="548">
        <v>8.3000000000000001E-3</v>
      </c>
    </row>
    <row r="74" spans="1:9" x14ac:dyDescent="0.25">
      <c r="A74" s="530" t="s">
        <v>363</v>
      </c>
      <c r="B74" s="530" t="s">
        <v>403</v>
      </c>
      <c r="C74" s="531" t="s">
        <v>404</v>
      </c>
      <c r="D74" s="531" t="s">
        <v>405</v>
      </c>
      <c r="E74" s="531" t="s">
        <v>406</v>
      </c>
      <c r="F74" s="531" t="s">
        <v>407</v>
      </c>
      <c r="G74" s="531" t="s">
        <v>408</v>
      </c>
      <c r="H74" s="531" t="s">
        <v>182</v>
      </c>
    </row>
    <row r="75" spans="1:9" x14ac:dyDescent="0.25">
      <c r="A75" s="532" t="s">
        <v>399</v>
      </c>
      <c r="B75" s="532" t="s">
        <v>334</v>
      </c>
      <c r="C75" s="533">
        <v>8148</v>
      </c>
      <c r="D75" s="534">
        <v>736</v>
      </c>
      <c r="E75" s="534">
        <v>168</v>
      </c>
      <c r="F75" s="533">
        <v>10028</v>
      </c>
      <c r="G75" s="533">
        <v>9052</v>
      </c>
      <c r="H75" s="533">
        <v>10196</v>
      </c>
    </row>
    <row r="76" spans="1:9" x14ac:dyDescent="0.25">
      <c r="A76" s="532" t="s">
        <v>399</v>
      </c>
      <c r="B76" s="532" t="s">
        <v>389</v>
      </c>
      <c r="C76" s="533">
        <v>12160</v>
      </c>
      <c r="D76" s="534">
        <v>518</v>
      </c>
      <c r="E76" s="534">
        <v>176</v>
      </c>
      <c r="F76" s="533">
        <v>9964</v>
      </c>
      <c r="G76" s="533">
        <v>12854</v>
      </c>
      <c r="H76" s="533">
        <v>10140</v>
      </c>
    </row>
    <row r="77" spans="1:9" x14ac:dyDescent="0.25">
      <c r="A77" s="532" t="s">
        <v>400</v>
      </c>
      <c r="B77" s="532" t="s">
        <v>334</v>
      </c>
      <c r="C77" s="533">
        <v>8404</v>
      </c>
      <c r="D77" s="533">
        <v>1068</v>
      </c>
      <c r="E77" s="534">
        <v>168</v>
      </c>
      <c r="F77" s="533">
        <v>9020</v>
      </c>
      <c r="G77" s="533">
        <v>9640</v>
      </c>
      <c r="H77" s="533">
        <v>9188</v>
      </c>
    </row>
    <row r="78" spans="1:9" x14ac:dyDescent="0.25">
      <c r="A78" s="532" t="s">
        <v>400</v>
      </c>
      <c r="B78" s="532" t="s">
        <v>389</v>
      </c>
      <c r="C78" s="533">
        <v>12404</v>
      </c>
      <c r="D78" s="534">
        <v>850</v>
      </c>
      <c r="E78" s="534">
        <v>176</v>
      </c>
      <c r="F78" s="533">
        <v>8956</v>
      </c>
      <c r="G78" s="533">
        <v>13430</v>
      </c>
      <c r="H78" s="533">
        <v>9132</v>
      </c>
    </row>
    <row r="79" spans="1:9" x14ac:dyDescent="0.25">
      <c r="A79" s="532" t="s">
        <v>401</v>
      </c>
      <c r="B79" s="532" t="s">
        <v>334</v>
      </c>
      <c r="C79" s="533">
        <v>8800</v>
      </c>
      <c r="D79" s="533">
        <v>1044</v>
      </c>
      <c r="E79" s="534">
        <v>168</v>
      </c>
      <c r="F79" s="533">
        <v>9020</v>
      </c>
      <c r="G79" s="533">
        <v>10012</v>
      </c>
      <c r="H79" s="533">
        <v>9188</v>
      </c>
    </row>
    <row r="80" spans="1:9" x14ac:dyDescent="0.25">
      <c r="A80" s="532" t="s">
        <v>401</v>
      </c>
      <c r="B80" s="532" t="s">
        <v>389</v>
      </c>
      <c r="C80" s="533">
        <v>12892</v>
      </c>
      <c r="D80" s="534">
        <v>826</v>
      </c>
      <c r="E80" s="534">
        <v>176</v>
      </c>
      <c r="F80" s="533">
        <v>8936</v>
      </c>
      <c r="G80" s="533">
        <v>13894</v>
      </c>
      <c r="H80" s="533">
        <v>9112</v>
      </c>
    </row>
    <row r="82" spans="1:8" x14ac:dyDescent="0.25">
      <c r="A82" s="530" t="s">
        <v>363</v>
      </c>
      <c r="B82" s="530" t="s">
        <v>409</v>
      </c>
      <c r="C82" s="531" t="s">
        <v>410</v>
      </c>
      <c r="D82" s="531" t="s">
        <v>411</v>
      </c>
      <c r="E82" s="531" t="s">
        <v>412</v>
      </c>
      <c r="F82" s="531" t="s">
        <v>413</v>
      </c>
      <c r="G82" s="531" t="s">
        <v>414</v>
      </c>
      <c r="H82" s="531" t="s">
        <v>415</v>
      </c>
    </row>
    <row r="83" spans="1:8" x14ac:dyDescent="0.25">
      <c r="A83" s="532" t="s">
        <v>399</v>
      </c>
      <c r="B83" s="532" t="s">
        <v>416</v>
      </c>
      <c r="C83" s="534">
        <v>736</v>
      </c>
      <c r="D83" s="534">
        <v>558</v>
      </c>
      <c r="E83" s="534">
        <v>178</v>
      </c>
      <c r="F83" s="533">
        <v>1028</v>
      </c>
      <c r="G83" s="533">
        <v>1028</v>
      </c>
      <c r="H83" s="534">
        <v>0</v>
      </c>
    </row>
    <row r="84" spans="1:8" x14ac:dyDescent="0.25">
      <c r="A84" s="532" t="s">
        <v>399</v>
      </c>
      <c r="B84" s="532" t="s">
        <v>417</v>
      </c>
      <c r="C84" s="533">
        <v>2669</v>
      </c>
      <c r="D84" s="533">
        <v>3186</v>
      </c>
      <c r="E84" s="534">
        <v>-517</v>
      </c>
      <c r="F84" s="533">
        <v>8572</v>
      </c>
      <c r="G84" s="533">
        <v>8596</v>
      </c>
      <c r="H84" s="534">
        <v>-24</v>
      </c>
    </row>
    <row r="85" spans="1:8" x14ac:dyDescent="0.25">
      <c r="A85" s="532" t="s">
        <v>399</v>
      </c>
      <c r="B85" s="532" t="s">
        <v>418</v>
      </c>
      <c r="C85" s="533">
        <v>5479</v>
      </c>
      <c r="D85" s="533">
        <v>8934</v>
      </c>
      <c r="E85" s="533">
        <v>-3455</v>
      </c>
      <c r="F85" s="534">
        <v>596</v>
      </c>
      <c r="G85" s="534">
        <v>516</v>
      </c>
      <c r="H85" s="534">
        <v>80</v>
      </c>
    </row>
    <row r="86" spans="1:8" x14ac:dyDescent="0.25">
      <c r="A86" s="532" t="s">
        <v>400</v>
      </c>
      <c r="B86" s="532" t="s">
        <v>416</v>
      </c>
      <c r="C86" s="533">
        <v>1332</v>
      </c>
      <c r="D86" s="533">
        <v>1150</v>
      </c>
      <c r="E86" s="534">
        <v>182</v>
      </c>
      <c r="F86" s="534">
        <v>20</v>
      </c>
      <c r="G86" s="534">
        <v>20</v>
      </c>
      <c r="H86" s="534">
        <v>0</v>
      </c>
    </row>
    <row r="87" spans="1:8" x14ac:dyDescent="0.25">
      <c r="A87" s="532" t="s">
        <v>400</v>
      </c>
      <c r="B87" s="532" t="s">
        <v>417</v>
      </c>
      <c r="C87" s="533">
        <v>2661</v>
      </c>
      <c r="D87" s="533">
        <v>3178</v>
      </c>
      <c r="E87" s="534">
        <v>-517</v>
      </c>
      <c r="F87" s="533">
        <v>8572</v>
      </c>
      <c r="G87" s="533">
        <v>8596</v>
      </c>
      <c r="H87" s="534">
        <v>-24</v>
      </c>
    </row>
    <row r="88" spans="1:8" x14ac:dyDescent="0.25">
      <c r="A88" s="532" t="s">
        <v>400</v>
      </c>
      <c r="B88" s="532" t="s">
        <v>418</v>
      </c>
      <c r="C88" s="533">
        <v>5479</v>
      </c>
      <c r="D88" s="533">
        <v>8926</v>
      </c>
      <c r="E88" s="533">
        <v>-3447</v>
      </c>
      <c r="F88" s="534">
        <v>596</v>
      </c>
      <c r="G88" s="534">
        <v>516</v>
      </c>
      <c r="H88" s="534">
        <v>80</v>
      </c>
    </row>
    <row r="89" spans="1:8" x14ac:dyDescent="0.25">
      <c r="A89" s="532" t="s">
        <v>401</v>
      </c>
      <c r="B89" s="532" t="s">
        <v>416</v>
      </c>
      <c r="C89" s="533">
        <v>1400</v>
      </c>
      <c r="D89" s="533">
        <v>1218</v>
      </c>
      <c r="E89" s="534">
        <v>182</v>
      </c>
      <c r="F89" s="534">
        <v>20</v>
      </c>
      <c r="G89" s="534">
        <v>0</v>
      </c>
      <c r="H89" s="534">
        <v>20</v>
      </c>
    </row>
    <row r="90" spans="1:8" x14ac:dyDescent="0.25">
      <c r="A90" s="532" t="s">
        <v>401</v>
      </c>
      <c r="B90" s="532" t="s">
        <v>417</v>
      </c>
      <c r="C90" s="533">
        <v>2963</v>
      </c>
      <c r="D90" s="533">
        <v>3566</v>
      </c>
      <c r="E90" s="534">
        <v>-603</v>
      </c>
      <c r="F90" s="533">
        <v>8572</v>
      </c>
      <c r="G90" s="533">
        <v>8596</v>
      </c>
      <c r="H90" s="534">
        <v>-24</v>
      </c>
    </row>
    <row r="91" spans="1:8" x14ac:dyDescent="0.25">
      <c r="A91" s="532" t="s">
        <v>401</v>
      </c>
      <c r="B91" s="532" t="s">
        <v>418</v>
      </c>
      <c r="C91" s="533">
        <v>5481</v>
      </c>
      <c r="D91" s="533">
        <v>8934</v>
      </c>
      <c r="E91" s="533">
        <v>-3453</v>
      </c>
      <c r="F91" s="534">
        <v>596</v>
      </c>
      <c r="G91" s="534">
        <v>516</v>
      </c>
      <c r="H91" s="534">
        <v>80</v>
      </c>
    </row>
    <row r="93" spans="1:8" x14ac:dyDescent="0.25">
      <c r="A93" s="530" t="s">
        <v>363</v>
      </c>
      <c r="B93" s="530" t="s">
        <v>419</v>
      </c>
      <c r="C93" s="531" t="s">
        <v>334</v>
      </c>
      <c r="D93" s="531" t="s">
        <v>389</v>
      </c>
      <c r="E93" s="531" t="s">
        <v>420</v>
      </c>
    </row>
    <row r="94" spans="1:8" x14ac:dyDescent="0.25">
      <c r="A94" s="532" t="s">
        <v>399</v>
      </c>
      <c r="B94" s="532" t="s">
        <v>421</v>
      </c>
      <c r="C94" s="545">
        <v>43172.93</v>
      </c>
      <c r="D94" s="545">
        <v>9570.4699999999993</v>
      </c>
      <c r="E94" s="535">
        <v>3.5110999999999999</v>
      </c>
    </row>
    <row r="95" spans="1:8" x14ac:dyDescent="0.25">
      <c r="A95" s="532" t="s">
        <v>399</v>
      </c>
      <c r="B95" s="532" t="s">
        <v>422</v>
      </c>
      <c r="C95" s="545">
        <v>1295346.3</v>
      </c>
      <c r="D95" s="545">
        <v>287138</v>
      </c>
      <c r="E95" s="535">
        <v>3.5110999999999999</v>
      </c>
    </row>
    <row r="96" spans="1:8" x14ac:dyDescent="0.25">
      <c r="A96" s="532" t="s">
        <v>400</v>
      </c>
      <c r="B96" s="532" t="s">
        <v>423</v>
      </c>
      <c r="C96" s="545">
        <v>226652.76</v>
      </c>
      <c r="D96" s="545">
        <v>35783.68</v>
      </c>
      <c r="E96" s="535">
        <v>5.3339999999999996</v>
      </c>
    </row>
    <row r="97" spans="1:5" x14ac:dyDescent="0.25">
      <c r="A97" s="532" t="s">
        <v>400</v>
      </c>
      <c r="B97" s="532" t="s">
        <v>424</v>
      </c>
      <c r="C97" s="545">
        <v>6799582.7000000002</v>
      </c>
      <c r="D97" s="545">
        <v>1073510.45</v>
      </c>
      <c r="E97" s="535">
        <v>5.3339999999999996</v>
      </c>
    </row>
    <row r="98" spans="1:5" x14ac:dyDescent="0.25">
      <c r="A98" s="532" t="s">
        <v>400</v>
      </c>
      <c r="B98" s="532" t="s">
        <v>425</v>
      </c>
      <c r="C98" s="545">
        <v>1133263.78</v>
      </c>
      <c r="D98" s="545">
        <v>178918.41</v>
      </c>
      <c r="E98" s="535">
        <v>5.3339999999999996</v>
      </c>
    </row>
    <row r="99" spans="1:5" x14ac:dyDescent="0.25">
      <c r="A99" s="532" t="s">
        <v>401</v>
      </c>
      <c r="B99" s="532" t="s">
        <v>423</v>
      </c>
      <c r="C99" s="545">
        <v>55015.519999999997</v>
      </c>
      <c r="D99" s="545">
        <v>7110.96</v>
      </c>
      <c r="E99" s="535">
        <v>6.7366999999999999</v>
      </c>
    </row>
    <row r="100" spans="1:5" x14ac:dyDescent="0.25">
      <c r="A100" s="532" t="s">
        <v>401</v>
      </c>
      <c r="B100" s="532" t="s">
        <v>424</v>
      </c>
      <c r="C100" s="545">
        <v>1650465.6</v>
      </c>
      <c r="D100" s="545">
        <v>213328.87</v>
      </c>
      <c r="E100" s="535">
        <v>6.7366999999999999</v>
      </c>
    </row>
    <row r="101" spans="1:5" x14ac:dyDescent="0.25">
      <c r="A101" s="532" t="s">
        <v>401</v>
      </c>
      <c r="B101" s="532" t="s">
        <v>425</v>
      </c>
      <c r="C101" s="545">
        <v>275077.59999999998</v>
      </c>
      <c r="D101" s="545">
        <v>35554.81</v>
      </c>
      <c r="E101" s="535">
        <v>6.7366999999999999</v>
      </c>
    </row>
  </sheetData>
  <mergeCells count="16">
    <mergeCell ref="N1:S9"/>
    <mergeCell ref="A55:A58"/>
    <mergeCell ref="A59:A62"/>
    <mergeCell ref="A63:A66"/>
    <mergeCell ref="B17:E17"/>
    <mergeCell ref="F17:G17"/>
    <mergeCell ref="A17:A18"/>
    <mergeCell ref="A31:A34"/>
    <mergeCell ref="A35:A38"/>
    <mergeCell ref="A39:A42"/>
    <mergeCell ref="A43:A46"/>
    <mergeCell ref="A47:A50"/>
    <mergeCell ref="A51:A54"/>
    <mergeCell ref="A19:A22"/>
    <mergeCell ref="A23:A26"/>
    <mergeCell ref="A27:A30"/>
  </mergeCells>
  <conditionalFormatting sqref="L3:M14 H3:I15">
    <cfRule type="expression" dxfId="9" priority="9">
      <formula>H3&gt;0</formula>
    </cfRule>
    <cfRule type="expression" dxfId="8" priority="10">
      <formula>H3&lt;0</formula>
    </cfRule>
  </conditionalFormatting>
  <conditionalFormatting sqref="F19:G66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D70:D72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H70:H72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FD17-1E12-497C-8954-F3682059BB1A}">
  <dimension ref="B3:M16"/>
  <sheetViews>
    <sheetView tabSelected="1" workbookViewId="0">
      <selection activeCell="E28" sqref="E28"/>
    </sheetView>
  </sheetViews>
  <sheetFormatPr defaultRowHeight="15" x14ac:dyDescent="0.25"/>
  <cols>
    <col min="2" max="2" width="27.42578125" customWidth="1"/>
    <col min="3" max="3" width="24.5703125" customWidth="1"/>
    <col min="4" max="5" width="22.28515625" customWidth="1"/>
    <col min="6" max="6" width="20.140625" customWidth="1"/>
    <col min="7" max="7" width="15.85546875" customWidth="1"/>
    <col min="11" max="11" width="40.140625" customWidth="1"/>
  </cols>
  <sheetData>
    <row r="3" spans="2:13" ht="30" x14ac:dyDescent="0.25">
      <c r="B3" s="536" t="s">
        <v>363</v>
      </c>
      <c r="C3" s="536" t="s">
        <v>428</v>
      </c>
      <c r="D3" s="536" t="s">
        <v>429</v>
      </c>
      <c r="E3" s="536" t="s">
        <v>431</v>
      </c>
      <c r="F3" s="536" t="s">
        <v>430</v>
      </c>
      <c r="G3" s="536" t="s">
        <v>385</v>
      </c>
      <c r="H3" s="552" t="s">
        <v>427</v>
      </c>
      <c r="I3" s="553"/>
      <c r="J3" s="553"/>
      <c r="K3" s="553"/>
      <c r="L3" s="553"/>
      <c r="M3" s="553"/>
    </row>
    <row r="4" spans="2:13" x14ac:dyDescent="0.25">
      <c r="B4" s="549" t="s">
        <v>426</v>
      </c>
      <c r="C4" s="538">
        <v>420</v>
      </c>
      <c r="D4" s="538">
        <v>674</v>
      </c>
      <c r="E4" s="555">
        <f>D4-$I$13</f>
        <v>416</v>
      </c>
      <c r="F4" s="538">
        <f>E4-C4</f>
        <v>-4</v>
      </c>
      <c r="G4" s="540">
        <f>F4/C4</f>
        <v>-9.5238095238095247E-3</v>
      </c>
      <c r="H4" s="554"/>
      <c r="I4" s="553"/>
      <c r="J4" s="553"/>
      <c r="K4" s="553"/>
      <c r="L4" s="553"/>
      <c r="M4" s="553"/>
    </row>
    <row r="5" spans="2:13" x14ac:dyDescent="0.25">
      <c r="B5" s="537" t="s">
        <v>372</v>
      </c>
      <c r="C5" s="538">
        <v>1476</v>
      </c>
      <c r="D5" s="538">
        <v>1416</v>
      </c>
      <c r="E5" s="555">
        <f>D5-$I$13</f>
        <v>1158</v>
      </c>
      <c r="F5" s="538">
        <f t="shared" ref="F5:F16" si="0">E5-C5</f>
        <v>-318</v>
      </c>
      <c r="G5" s="540">
        <f t="shared" ref="G5:G16" si="1">F5/C5</f>
        <v>-0.21544715447154472</v>
      </c>
      <c r="H5" s="554"/>
      <c r="I5" s="553"/>
      <c r="J5" s="553"/>
      <c r="K5" s="553"/>
      <c r="L5" s="553"/>
      <c r="M5" s="553"/>
    </row>
    <row r="6" spans="2:13" x14ac:dyDescent="0.25">
      <c r="B6" s="537" t="s">
        <v>373</v>
      </c>
      <c r="C6" s="539">
        <v>656</v>
      </c>
      <c r="D6" s="539">
        <v>772</v>
      </c>
      <c r="E6" s="555">
        <f t="shared" ref="E6:E16" si="2">D6-$I$13</f>
        <v>514</v>
      </c>
      <c r="F6" s="538">
        <f t="shared" si="0"/>
        <v>-142</v>
      </c>
      <c r="G6" s="540">
        <f t="shared" si="1"/>
        <v>-0.21646341463414634</v>
      </c>
      <c r="H6" s="554"/>
      <c r="I6" s="553"/>
      <c r="J6" s="553"/>
      <c r="K6" s="553"/>
      <c r="L6" s="553"/>
      <c r="M6" s="553"/>
    </row>
    <row r="7" spans="2:13" x14ac:dyDescent="0.25">
      <c r="B7" s="537" t="s">
        <v>374</v>
      </c>
      <c r="C7" s="538">
        <v>1928</v>
      </c>
      <c r="D7" s="538">
        <v>1840</v>
      </c>
      <c r="E7" s="555">
        <f t="shared" si="2"/>
        <v>1582</v>
      </c>
      <c r="F7" s="538">
        <f t="shared" si="0"/>
        <v>-346</v>
      </c>
      <c r="G7" s="540">
        <f t="shared" si="1"/>
        <v>-0.17946058091286307</v>
      </c>
      <c r="H7" s="554"/>
      <c r="I7" s="553"/>
      <c r="J7" s="553"/>
      <c r="K7" s="553"/>
      <c r="L7" s="553"/>
      <c r="M7" s="553"/>
    </row>
    <row r="8" spans="2:13" x14ac:dyDescent="0.25">
      <c r="B8" s="537" t="s">
        <v>375</v>
      </c>
      <c r="C8" s="538">
        <v>1744</v>
      </c>
      <c r="D8" s="538">
        <v>1687</v>
      </c>
      <c r="E8" s="555">
        <f t="shared" si="2"/>
        <v>1429</v>
      </c>
      <c r="F8" s="538">
        <f t="shared" si="0"/>
        <v>-315</v>
      </c>
      <c r="G8" s="540">
        <f t="shared" si="1"/>
        <v>-0.18061926605504589</v>
      </c>
      <c r="H8" s="554"/>
      <c r="I8" s="553"/>
      <c r="J8" s="553"/>
      <c r="K8" s="553"/>
      <c r="L8" s="553"/>
      <c r="M8" s="553"/>
    </row>
    <row r="9" spans="2:13" x14ac:dyDescent="0.25">
      <c r="B9" s="537" t="s">
        <v>376</v>
      </c>
      <c r="C9" s="538">
        <v>1580</v>
      </c>
      <c r="D9" s="538">
        <v>1732</v>
      </c>
      <c r="E9" s="555">
        <f t="shared" si="2"/>
        <v>1474</v>
      </c>
      <c r="F9" s="538">
        <f t="shared" si="0"/>
        <v>-106</v>
      </c>
      <c r="G9" s="540">
        <f t="shared" si="1"/>
        <v>-6.7088607594936706E-2</v>
      </c>
      <c r="H9" s="554"/>
      <c r="I9" s="553"/>
      <c r="J9" s="553"/>
      <c r="K9" s="553"/>
      <c r="L9" s="553"/>
      <c r="M9" s="553"/>
    </row>
    <row r="10" spans="2:13" x14ac:dyDescent="0.25">
      <c r="B10" s="537" t="s">
        <v>377</v>
      </c>
      <c r="C10" s="538">
        <v>1388</v>
      </c>
      <c r="D10" s="538">
        <v>1460</v>
      </c>
      <c r="E10" s="555">
        <f t="shared" si="2"/>
        <v>1202</v>
      </c>
      <c r="F10" s="538">
        <f t="shared" si="0"/>
        <v>-186</v>
      </c>
      <c r="G10" s="540">
        <f t="shared" si="1"/>
        <v>-0.1340057636887608</v>
      </c>
      <c r="H10" s="554"/>
      <c r="I10" s="553"/>
      <c r="J10" s="553"/>
      <c r="K10" s="553"/>
      <c r="L10" s="553"/>
      <c r="M10" s="553"/>
    </row>
    <row r="11" spans="2:13" x14ac:dyDescent="0.25">
      <c r="B11" s="537" t="s">
        <v>378</v>
      </c>
      <c r="C11" s="538">
        <v>1420</v>
      </c>
      <c r="D11" s="538">
        <v>1376</v>
      </c>
      <c r="E11" s="555">
        <f t="shared" si="2"/>
        <v>1118</v>
      </c>
      <c r="F11" s="538">
        <f t="shared" si="0"/>
        <v>-302</v>
      </c>
      <c r="G11" s="540">
        <f t="shared" si="1"/>
        <v>-0.21267605633802816</v>
      </c>
      <c r="H11" s="554"/>
      <c r="I11" s="553"/>
      <c r="J11" s="553"/>
      <c r="K11" s="553"/>
      <c r="L11" s="553"/>
      <c r="M11" s="553"/>
    </row>
    <row r="12" spans="2:13" x14ac:dyDescent="0.25">
      <c r="B12" s="537" t="s">
        <v>379</v>
      </c>
      <c r="C12" s="538">
        <v>1412</v>
      </c>
      <c r="D12" s="538">
        <v>1340</v>
      </c>
      <c r="E12" s="555">
        <f t="shared" si="2"/>
        <v>1082</v>
      </c>
      <c r="F12" s="538">
        <f t="shared" si="0"/>
        <v>-330</v>
      </c>
      <c r="G12" s="540">
        <f t="shared" si="1"/>
        <v>-0.23371104815864022</v>
      </c>
      <c r="I12" t="s">
        <v>432</v>
      </c>
    </row>
    <row r="13" spans="2:13" x14ac:dyDescent="0.25">
      <c r="B13" s="537" t="s">
        <v>380</v>
      </c>
      <c r="C13" s="538">
        <v>1704</v>
      </c>
      <c r="D13" s="538">
        <v>2151</v>
      </c>
      <c r="E13" s="555">
        <f t="shared" si="2"/>
        <v>1893</v>
      </c>
      <c r="F13" s="538">
        <f t="shared" si="0"/>
        <v>189</v>
      </c>
      <c r="G13" s="540">
        <f t="shared" si="1"/>
        <v>0.11091549295774648</v>
      </c>
      <c r="I13">
        <v>258</v>
      </c>
    </row>
    <row r="14" spans="2:13" x14ac:dyDescent="0.25">
      <c r="B14" s="537" t="s">
        <v>381</v>
      </c>
      <c r="C14" s="538">
        <v>1876</v>
      </c>
      <c r="D14" s="538">
        <v>1940</v>
      </c>
      <c r="E14" s="555">
        <f t="shared" si="2"/>
        <v>1682</v>
      </c>
      <c r="F14" s="538">
        <f t="shared" si="0"/>
        <v>-194</v>
      </c>
      <c r="G14" s="540">
        <f t="shared" si="1"/>
        <v>-0.10341151385927505</v>
      </c>
    </row>
    <row r="15" spans="2:13" x14ac:dyDescent="0.25">
      <c r="B15" s="537" t="s">
        <v>382</v>
      </c>
      <c r="C15" s="538">
        <v>1326</v>
      </c>
      <c r="D15" s="538">
        <v>1318</v>
      </c>
      <c r="E15" s="555">
        <f t="shared" si="2"/>
        <v>1060</v>
      </c>
      <c r="F15" s="538">
        <f t="shared" si="0"/>
        <v>-266</v>
      </c>
      <c r="G15" s="540">
        <f t="shared" si="1"/>
        <v>-0.20060331825037708</v>
      </c>
    </row>
    <row r="16" spans="2:13" x14ac:dyDescent="0.25">
      <c r="B16" s="537" t="s">
        <v>383</v>
      </c>
      <c r="C16" s="538">
        <v>1588</v>
      </c>
      <c r="D16" s="538">
        <v>1580</v>
      </c>
      <c r="E16" s="555">
        <f t="shared" si="2"/>
        <v>1322</v>
      </c>
      <c r="F16" s="538">
        <f t="shared" si="0"/>
        <v>-266</v>
      </c>
      <c r="G16" s="540">
        <f t="shared" si="1"/>
        <v>-0.16750629722921914</v>
      </c>
    </row>
  </sheetData>
  <mergeCells count="1">
    <mergeCell ref="H3:M11"/>
  </mergeCells>
  <conditionalFormatting sqref="F4:G16">
    <cfRule type="expression" dxfId="1" priority="1">
      <formula>F4&gt;0</formula>
    </cfRule>
    <cfRule type="expression" dxfId="0" priority="2">
      <formula>F4&lt;0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1237C2C5B8640A42F53CA30EEE2CA" ma:contentTypeVersion="12" ma:contentTypeDescription="Create a new document." ma:contentTypeScope="" ma:versionID="999b613e3b459868e36c787b0985a0e8">
  <xsd:schema xmlns:xsd="http://www.w3.org/2001/XMLSchema" xmlns:xs="http://www.w3.org/2001/XMLSchema" xmlns:p="http://schemas.microsoft.com/office/2006/metadata/properties" xmlns:ns2="f154976c-1da9-4955-b19d-1007338f1673" xmlns:ns3="e4848b3d-1136-4288-8eee-9f2e7b5cd1ec" targetNamespace="http://schemas.microsoft.com/office/2006/metadata/properties" ma:root="true" ma:fieldsID="e17e1cda62fe06805cf6433187e10bfe" ns2:_="" ns3:_="">
    <xsd:import namespace="f154976c-1da9-4955-b19d-1007338f1673"/>
    <xsd:import namespace="e4848b3d-1136-4288-8eee-9f2e7b5cd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4976c-1da9-4955-b19d-1007338f1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15f0e51-4dc2-4521-a620-e03b1e9ce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48b3d-1136-4288-8eee-9f2e7b5cd1e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5596463-52d3-4600-9ae7-ec9ad4e45d51}" ma:internalName="TaxCatchAll" ma:showField="CatchAllData" ma:web="e4848b3d-1136-4288-8eee-9f2e7b5cd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848b3d-1136-4288-8eee-9f2e7b5cd1ec" xsi:nil="true"/>
    <lcf76f155ced4ddcb4097134ff3c332f xmlns="f154976c-1da9-4955-b19d-1007338f16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289AFE-DB69-42BA-AF40-6FDD748C18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05DFFE-29C3-441C-9FA3-9E5CE9F7A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4976c-1da9-4955-b19d-1007338f1673"/>
    <ds:schemaRef ds:uri="e4848b3d-1136-4288-8eee-9f2e7b5cd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A9650E-F156-4A42-AAB1-74E5448838E4}">
  <ds:schemaRefs>
    <ds:schemaRef ds:uri="http://schemas.microsoft.com/office/2006/documentManagement/types"/>
    <ds:schemaRef ds:uri="e4848b3d-1136-4288-8eee-9f2e7b5cd1ec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f154976c-1da9-4955-b19d-1007338f1673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 vs GD USB Sirine</vt:lpstr>
      <vt:lpstr>Low_footprint_profiles</vt:lpstr>
      <vt:lpstr>Summary</vt:lpstr>
      <vt:lpstr>USBX_ThreadX_Footprint</vt:lpstr>
      <vt:lpstr>Initialization Execution time </vt:lpstr>
      <vt:lpstr>Renesas</vt:lpstr>
      <vt:lpstr>Low_footprint_macro_values</vt:lpstr>
      <vt:lpstr>Nxp vs StM32U5</vt:lpstr>
      <vt:lpstr>ST vs NXP</vt:lpstr>
      <vt:lpstr>ST vs GigaDevice USB Stack</vt:lpstr>
      <vt:lpstr>ST Vs GD32 FreeRTOS Middleware</vt:lpstr>
      <vt:lpstr>ST VsGD32 freeRTOS after update</vt:lpstr>
      <vt:lpstr>st vs gd freertos 11.2.0</vt:lpstr>
      <vt:lpstr>Sheet1</vt:lpstr>
      <vt:lpstr>optimized freertos project st</vt:lpstr>
      <vt:lpstr>TI vs STCube2</vt:lpstr>
      <vt:lpstr>Sheet2</vt:lpstr>
    </vt:vector>
  </TitlesOfParts>
  <Manager/>
  <Company>STMicroelectronics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Amine CHERNI</dc:creator>
  <cp:keywords/>
  <dc:description/>
  <cp:lastModifiedBy>Fares DKHILI</cp:lastModifiedBy>
  <cp:revision/>
  <dcterms:created xsi:type="dcterms:W3CDTF">2025-10-16T09:37:11Z</dcterms:created>
  <dcterms:modified xsi:type="dcterms:W3CDTF">2026-08-07T14:02:17Z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0x0101002811237C2C5B8640A42F53CA30EEE2CA</vt:lpwstr>
  </property>
  <property fmtid="{D5CDD505-2E9C-101B-9397-08002B2CF9AE}" pid="3" name="MediaServiceImageTags">
    <vt:lpwstr/>
  </property>
</Properties>
</file>